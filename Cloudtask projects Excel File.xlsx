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2207baa9aa56b1/Desktop/Data Projects/CloudTask Pro revenue and churn/"/>
    </mc:Choice>
  </mc:AlternateContent>
  <xr:revisionPtr revIDLastSave="944" documentId="8_{770BB9B3-AC52-4DB3-A9AA-EA220A69677F}" xr6:coauthVersionLast="47" xr6:coauthVersionMax="47" xr10:uidLastSave="{73244A4A-6BCA-47CC-9E4A-46A95FDBF7DC}"/>
  <bookViews>
    <workbookView xWindow="-108" yWindow="-108" windowWidth="23256" windowHeight="12456" firstSheet="3" activeTab="8" xr2:uid="{0D54CBC4-405D-4202-8824-0EBCDDE1AB02}"/>
  </bookViews>
  <sheets>
    <sheet name="subscriptions" sheetId="3" r:id="rId1"/>
    <sheet name="monthly_revenue" sheetId="2" r:id="rId2"/>
    <sheet name="MRR trends" sheetId="30" r:id="rId3"/>
    <sheet name="Churn Overall" sheetId="21" r:id="rId4"/>
    <sheet name="Churn Annualy" sheetId="17" r:id="rId5"/>
    <sheet name="Churn Rate monthly" sheetId="16" r:id="rId6"/>
    <sheet name="Churn category" sheetId="18" r:id="rId7"/>
    <sheet name="Sheet3" sheetId="29" r:id="rId8"/>
    <sheet name="Churn by plan" sheetId="31" r:id="rId9"/>
  </sheets>
  <definedNames>
    <definedName name="ExternalData_1" localSheetId="1" hidden="1">monthly_revenue!$A$1:$I$49</definedName>
    <definedName name="ExternalData_2" localSheetId="0" hidden="1">subscriptions!$A$1:$T$601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31" l="1"/>
  <c r="D53" i="31"/>
  <c r="E53" i="31"/>
  <c r="F53" i="31"/>
  <c r="B53" i="31"/>
  <c r="I10" i="30"/>
  <c r="C10" i="30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25" i="2"/>
  <c r="J21" i="2"/>
  <c r="J17" i="2"/>
  <c r="J4" i="2"/>
  <c r="J3" i="2"/>
  <c r="J5" i="2"/>
  <c r="J6" i="2"/>
  <c r="J7" i="2"/>
  <c r="J8" i="2"/>
  <c r="J9" i="2"/>
  <c r="J10" i="2"/>
  <c r="J11" i="2"/>
  <c r="J12" i="2"/>
  <c r="J13" i="2"/>
  <c r="J14" i="2"/>
  <c r="J15" i="2"/>
  <c r="J16" i="2"/>
  <c r="J18" i="2"/>
  <c r="J19" i="2"/>
  <c r="J20" i="2"/>
  <c r="J22" i="2"/>
  <c r="J23" i="2"/>
  <c r="J24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4" i="21"/>
  <c r="K54" i="21"/>
  <c r="I56" i="21"/>
  <c r="I54" i="21"/>
  <c r="N24" i="29"/>
  <c r="N23" i="29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H54" i="21"/>
  <c r="G4" i="17"/>
  <c r="C9" i="18"/>
  <c r="B9" i="18"/>
  <c r="N5" i="16"/>
  <c r="L3" i="16"/>
  <c r="F3" i="17"/>
  <c r="G53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" i="16"/>
  <c r="F7" i="16"/>
  <c r="F6" i="16"/>
  <c r="C6" i="16"/>
  <c r="C8" i="16"/>
  <c r="C5" i="16"/>
  <c r="F5" i="16"/>
  <c r="F4" i="16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C4" i="17" l="1"/>
  <c r="F8" i="16"/>
  <c r="C9" i="16" s="1"/>
  <c r="F9" i="16" s="1"/>
  <c r="C10" i="16" s="1"/>
  <c r="F10" i="16" s="1"/>
  <c r="C11" i="16" s="1"/>
  <c r="F11" i="16" s="1"/>
  <c r="C12" i="16" s="1"/>
  <c r="F12" i="16" s="1"/>
  <c r="C13" i="16" s="1"/>
  <c r="F13" i="16" s="1"/>
  <c r="C14" i="16" s="1"/>
  <c r="F14" i="16" s="1"/>
  <c r="C15" i="16" s="1"/>
  <c r="F15" i="16" s="1"/>
  <c r="C16" i="16" s="1"/>
  <c r="F16" i="16" s="1"/>
  <c r="C17" i="16" s="1"/>
  <c r="F17" i="16" s="1"/>
  <c r="C18" i="16" s="1"/>
  <c r="F18" i="16" s="1"/>
  <c r="C19" i="16" s="1"/>
  <c r="F19" i="16" s="1"/>
  <c r="C20" i="16" s="1"/>
  <c r="F20" i="16" s="1"/>
  <c r="C21" i="16" s="1"/>
  <c r="F21" i="16" s="1"/>
  <c r="C22" i="16" s="1"/>
  <c r="F22" i="16" s="1"/>
  <c r="C23" i="16" s="1"/>
  <c r="F23" i="16" s="1"/>
  <c r="C24" i="16" s="1"/>
  <c r="F24" i="16" s="1"/>
  <c r="C25" i="16" s="1"/>
  <c r="C7" i="16"/>
  <c r="F4" i="17" l="1"/>
  <c r="C5" i="17" s="1"/>
  <c r="F25" i="16"/>
  <c r="C26" i="16" s="1"/>
  <c r="F26" i="16" s="1"/>
  <c r="C27" i="16" s="1"/>
  <c r="F27" i="16" s="1"/>
  <c r="C28" i="16" s="1"/>
  <c r="F28" i="16" s="1"/>
  <c r="C29" i="16" s="1"/>
  <c r="F29" i="16" s="1"/>
  <c r="C30" i="16" s="1"/>
  <c r="F30" i="16" s="1"/>
  <c r="C31" i="16" s="1"/>
  <c r="F31" i="16" s="1"/>
  <c r="C32" i="16" s="1"/>
  <c r="F32" i="16" s="1"/>
  <c r="C33" i="16" s="1"/>
  <c r="F33" i="16" s="1"/>
  <c r="C34" i="16" s="1"/>
  <c r="F34" i="16" s="1"/>
  <c r="C35" i="16" s="1"/>
  <c r="F35" i="16" s="1"/>
  <c r="C36" i="16" s="1"/>
  <c r="F36" i="16" s="1"/>
  <c r="C37" i="16" s="1"/>
  <c r="F37" i="16" s="1"/>
  <c r="C38" i="16" s="1"/>
  <c r="F38" i="16" s="1"/>
  <c r="C39" i="16" s="1"/>
  <c r="F39" i="16" s="1"/>
  <c r="C40" i="16" s="1"/>
  <c r="F40" i="16" s="1"/>
  <c r="C41" i="16" s="1"/>
  <c r="F41" i="16" s="1"/>
  <c r="C42" i="16" s="1"/>
  <c r="F42" i="16" s="1"/>
  <c r="C43" i="16" s="1"/>
  <c r="F43" i="16" s="1"/>
  <c r="C44" i="16" s="1"/>
  <c r="F44" i="16" s="1"/>
  <c r="C45" i="16" s="1"/>
  <c r="F45" i="16" s="1"/>
  <c r="C46" i="16" s="1"/>
  <c r="F46" i="16" s="1"/>
  <c r="C47" i="16" s="1"/>
  <c r="F47" i="16" s="1"/>
  <c r="C48" i="16" s="1"/>
  <c r="F48" i="16" s="1"/>
  <c r="C49" i="16" s="1"/>
  <c r="F49" i="16" s="1"/>
  <c r="C50" i="16" s="1"/>
  <c r="F50" i="16" s="1"/>
  <c r="C51" i="16" s="1"/>
  <c r="F51" i="16" s="1"/>
  <c r="F5" i="17" l="1"/>
  <c r="C6" i="17" s="1"/>
  <c r="G5" i="17"/>
  <c r="G6" i="17" l="1"/>
  <c r="G8" i="17" s="1"/>
  <c r="K3" i="17" s="1"/>
  <c r="M5" i="17" s="1"/>
  <c r="M7" i="17" s="1"/>
  <c r="F6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96E4BF-6782-4D6A-A624-2ADC8FDACBCA}" keepAlive="1" name="Query - monthly_revenue" description="Connection to the 'monthly_revenue' query in the workbook." type="5" refreshedVersion="8" background="1" saveData="1">
    <dbPr connection="Provider=Microsoft.Mashup.OleDb.1;Data Source=$Workbook$;Location=monthly_revenue;Extended Properties=&quot;&quot;" command="SELECT * FROM [monthly_revenue]"/>
  </connection>
  <connection id="2" xr16:uid="{22342959-1813-4484-88E5-3D11B51CE735}" keepAlive="1" name="Query - subscriptions" description="Connection to the 'subscriptions' query in the workbook." type="5" refreshedVersion="8" background="1" saveData="1">
    <dbPr connection="Provider=Microsoft.Mashup.OleDb.1;Data Source=$Workbook$;Location=subscriptions;Extended Properties=&quot;&quot;" command="SELECT * FROM [subscriptions]"/>
  </connection>
</connections>
</file>

<file path=xl/sharedStrings.xml><?xml version="1.0" encoding="utf-8"?>
<sst xmlns="http://schemas.openxmlformats.org/spreadsheetml/2006/main" count="6197" uniqueCount="711">
  <si>
    <t>month</t>
  </si>
  <si>
    <t>total_active_customers</t>
  </si>
  <si>
    <t>new_customers</t>
  </si>
  <si>
    <t>churned_customers</t>
  </si>
  <si>
    <t>monthly_churn_rate_pct</t>
  </si>
  <si>
    <t>total_mrr</t>
  </si>
  <si>
    <t>avg_revenue_per_customer</t>
  </si>
  <si>
    <t>customer_acquisition_cost</t>
  </si>
  <si>
    <t>customer_id</t>
  </si>
  <si>
    <t>plan</t>
  </si>
  <si>
    <t>billing_cycle</t>
  </si>
  <si>
    <t>industry</t>
  </si>
  <si>
    <t>company_size</t>
  </si>
  <si>
    <t>seats</t>
  </si>
  <si>
    <t>monthly_revenue</t>
  </si>
  <si>
    <t>acquisition_channel</t>
  </si>
  <si>
    <t>region</t>
  </si>
  <si>
    <t>signup_date</t>
  </si>
  <si>
    <t>churned</t>
  </si>
  <si>
    <t>churn_date</t>
  </si>
  <si>
    <t>churn_reason</t>
  </si>
  <si>
    <t>support_tickets_12mo</t>
  </si>
  <si>
    <t>nps_score</t>
  </si>
  <si>
    <t>feature_usage_pct</t>
  </si>
  <si>
    <t>upgraded</t>
  </si>
  <si>
    <t>CUST-0001</t>
  </si>
  <si>
    <t>Professional</t>
  </si>
  <si>
    <t>Monthly</t>
  </si>
  <si>
    <t>Retail</t>
  </si>
  <si>
    <t>51-200</t>
  </si>
  <si>
    <t>Organic Search</t>
  </si>
  <si>
    <t>North America</t>
  </si>
  <si>
    <t>Yes</t>
  </si>
  <si>
    <t>Price Too High</t>
  </si>
  <si>
    <t>No</t>
  </si>
  <si>
    <t>CUST-0002</t>
  </si>
  <si>
    <t>Annual</t>
  </si>
  <si>
    <t>Direct Sales</t>
  </si>
  <si>
    <t/>
  </si>
  <si>
    <t>CUST-0003</t>
  </si>
  <si>
    <t>Starter</t>
  </si>
  <si>
    <t>Finance</t>
  </si>
  <si>
    <t>500+</t>
  </si>
  <si>
    <t>Partner</t>
  </si>
  <si>
    <t>CUST-0004</t>
  </si>
  <si>
    <t>Business</t>
  </si>
  <si>
    <t>Real Estate</t>
  </si>
  <si>
    <t>11-50</t>
  </si>
  <si>
    <t>Europe</t>
  </si>
  <si>
    <t>CUST-0005</t>
  </si>
  <si>
    <t>Manufacturing</t>
  </si>
  <si>
    <t>CUST-0006</t>
  </si>
  <si>
    <t>Technology</t>
  </si>
  <si>
    <t>1-10</t>
  </si>
  <si>
    <t>Referral</t>
  </si>
  <si>
    <t>CUST-0007</t>
  </si>
  <si>
    <t>201-500</t>
  </si>
  <si>
    <t>Poor Support</t>
  </si>
  <si>
    <t>CUST-0008</t>
  </si>
  <si>
    <t>CUST-0009</t>
  </si>
  <si>
    <t>Media</t>
  </si>
  <si>
    <t>Switched Competitor</t>
  </si>
  <si>
    <t>CUST-0010</t>
  </si>
  <si>
    <t>Healthcare</t>
  </si>
  <si>
    <t>Budget Cuts</t>
  </si>
  <si>
    <t>CUST-0011</t>
  </si>
  <si>
    <t>Asia Pacific</t>
  </si>
  <si>
    <t>Company Closed</t>
  </si>
  <si>
    <t>CUST-0012</t>
  </si>
  <si>
    <t>CUST-0013</t>
  </si>
  <si>
    <t>CUST-0014</t>
  </si>
  <si>
    <t>Paid Ads</t>
  </si>
  <si>
    <t>CUST-0015</t>
  </si>
  <si>
    <t>Education</t>
  </si>
  <si>
    <t>No Longer Needed</t>
  </si>
  <si>
    <t>CUST-0016</t>
  </si>
  <si>
    <t>CUST-0017</t>
  </si>
  <si>
    <t>CUST-0018</t>
  </si>
  <si>
    <t>CUST-0019</t>
  </si>
  <si>
    <t>Legal</t>
  </si>
  <si>
    <t>Latin America</t>
  </si>
  <si>
    <t>CUST-0020</t>
  </si>
  <si>
    <t>Enterprise</t>
  </si>
  <si>
    <t>CUST-0021</t>
  </si>
  <si>
    <t>CUST-0022</t>
  </si>
  <si>
    <t>CUST-0023</t>
  </si>
  <si>
    <t>CUST-0024</t>
  </si>
  <si>
    <t>CUST-0025</t>
  </si>
  <si>
    <t>CUST-0026</t>
  </si>
  <si>
    <t>CUST-0027</t>
  </si>
  <si>
    <t>Consulting</t>
  </si>
  <si>
    <t>CUST-0028</t>
  </si>
  <si>
    <t>CUST-0029</t>
  </si>
  <si>
    <t>Missing Features</t>
  </si>
  <si>
    <t>CUST-0030</t>
  </si>
  <si>
    <t>CUST-0031</t>
  </si>
  <si>
    <t>CUST-0032</t>
  </si>
  <si>
    <t>CUST-0033</t>
  </si>
  <si>
    <t>CUST-0034</t>
  </si>
  <si>
    <t>CUST-0035</t>
  </si>
  <si>
    <t>CUST-0036</t>
  </si>
  <si>
    <t>CUST-0037</t>
  </si>
  <si>
    <t>CUST-0038</t>
  </si>
  <si>
    <t>CUST-0039</t>
  </si>
  <si>
    <t>CUST-0040</t>
  </si>
  <si>
    <t>CUST-0041</t>
  </si>
  <si>
    <t>CUST-0042</t>
  </si>
  <si>
    <t>CUST-0043</t>
  </si>
  <si>
    <t>CUST-0044</t>
  </si>
  <si>
    <t>Social Media</t>
  </si>
  <si>
    <t>CUST-0045</t>
  </si>
  <si>
    <t>CUST-0046</t>
  </si>
  <si>
    <t>CUST-0047</t>
  </si>
  <si>
    <t>CUST-0048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</si>
  <si>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</si>
  <si>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</si>
  <si>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</si>
  <si>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</si>
  <si>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</si>
  <si>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</si>
  <si>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</si>
  <si>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</si>
  <si>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CUST-0057</t>
  </si>
  <si>
    <t>CUST-0058</t>
  </si>
  <si>
    <t>CUST-0059</t>
  </si>
  <si>
    <t>CUST-0060</t>
  </si>
  <si>
    <t>CUST-0061</t>
  </si>
  <si>
    <t>CUST-0062</t>
  </si>
  <si>
    <t>CUST-0063</t>
  </si>
  <si>
    <t>CUST-0064</t>
  </si>
  <si>
    <t>CUST-0065</t>
  </si>
  <si>
    <t>CUST-0066</t>
  </si>
  <si>
    <t>CUST-0067</t>
  </si>
  <si>
    <t>CUST-0068</t>
  </si>
  <si>
    <t>CUST-0069</t>
  </si>
  <si>
    <t>CUST-0070</t>
  </si>
  <si>
    <t>CUST-0071</t>
  </si>
  <si>
    <t>CUST-0072</t>
  </si>
  <si>
    <t>CUST-0073</t>
  </si>
  <si>
    <t>CUST-0074</t>
  </si>
  <si>
    <t>CUST-0075</t>
  </si>
  <si>
    <t>CUST-0076</t>
  </si>
  <si>
    <t>CUST-0077</t>
  </si>
  <si>
    <t>CUST-0078</t>
  </si>
  <si>
    <t>CUST-0079</t>
  </si>
  <si>
    <t>CUST-0080</t>
  </si>
  <si>
    <t>CUST-0081</t>
  </si>
  <si>
    <t>CUST-0082</t>
  </si>
  <si>
    <t>CUST-0083</t>
  </si>
  <si>
    <t>CUST-0084</t>
  </si>
  <si>
    <t>CUST-0085</t>
  </si>
  <si>
    <t>CUST-0086</t>
  </si>
  <si>
    <t>CUST-0087</t>
  </si>
  <si>
    <t>CUST-0088</t>
  </si>
  <si>
    <t>CUST-0089</t>
  </si>
  <si>
    <t>CUST-0090</t>
  </si>
  <si>
    <t>CUST-0091</t>
  </si>
  <si>
    <t>CUST-0092</t>
  </si>
  <si>
    <t>CUST-0093</t>
  </si>
  <si>
    <t>CUST-0094</t>
  </si>
  <si>
    <t>CUST-0095</t>
  </si>
  <si>
    <t>CUST-0096</t>
  </si>
  <si>
    <t>CUST-0097</t>
  </si>
  <si>
    <t>CUST-0098</t>
  </si>
  <si>
    <t>CUST-0099</t>
  </si>
  <si>
    <t>CUST-0100</t>
  </si>
  <si>
    <t>CUST-0101</t>
  </si>
  <si>
    <t>CUST-0102</t>
  </si>
  <si>
    <t>CUST-0103</t>
  </si>
  <si>
    <t>CUST-0104</t>
  </si>
  <si>
    <t>CUST-0105</t>
  </si>
  <si>
    <t>CUST-0106</t>
  </si>
  <si>
    <t>CUST-0107</t>
  </si>
  <si>
    <t>CUST-0108</t>
  </si>
  <si>
    <t>CUST-0109</t>
  </si>
  <si>
    <t>CUST-0110</t>
  </si>
  <si>
    <t>CUST-0111</t>
  </si>
  <si>
    <t>CUST-0112</t>
  </si>
  <si>
    <t>CUST-0113</t>
  </si>
  <si>
    <t>CUST-0114</t>
  </si>
  <si>
    <t>CUST-0115</t>
  </si>
  <si>
    <t>CUST-0116</t>
  </si>
  <si>
    <t>CUST-0117</t>
  </si>
  <si>
    <t>CUST-0118</t>
  </si>
  <si>
    <t>CUST-0119</t>
  </si>
  <si>
    <t>CUST-0120</t>
  </si>
  <si>
    <t>CUST-0121</t>
  </si>
  <si>
    <t>CUST-0122</t>
  </si>
  <si>
    <t>CUST-0123</t>
  </si>
  <si>
    <t>CUST-0124</t>
  </si>
  <si>
    <t>CUST-0125</t>
  </si>
  <si>
    <t>CUST-0126</t>
  </si>
  <si>
    <t>CUST-0127</t>
  </si>
  <si>
    <t>CUST-0128</t>
  </si>
  <si>
    <t>CUST-0129</t>
  </si>
  <si>
    <t>CUST-0130</t>
  </si>
  <si>
    <t>CUST-0131</t>
  </si>
  <si>
    <t>CUST-0132</t>
  </si>
  <si>
    <t>CUST-0133</t>
  </si>
  <si>
    <t>CUST-0134</t>
  </si>
  <si>
    <t>CUST-0135</t>
  </si>
  <si>
    <t>CUST-0136</t>
  </si>
  <si>
    <t>CUST-0137</t>
  </si>
  <si>
    <t>CUST-0138</t>
  </si>
  <si>
    <t>CUST-0139</t>
  </si>
  <si>
    <t>CUST-0140</t>
  </si>
  <si>
    <t>CUST-0141</t>
  </si>
  <si>
    <t>CUST-0142</t>
  </si>
  <si>
    <t>CUST-0143</t>
  </si>
  <si>
    <t>CUST-0144</t>
  </si>
  <si>
    <t>CUST-0145</t>
  </si>
  <si>
    <t>CUST-0146</t>
  </si>
  <si>
    <t>CUST-0147</t>
  </si>
  <si>
    <t>CUST-0148</t>
  </si>
  <si>
    <t>CUST-0149</t>
  </si>
  <si>
    <t>CUST-0150</t>
  </si>
  <si>
    <t>CUST-0151</t>
  </si>
  <si>
    <t>CUST-0152</t>
  </si>
  <si>
    <t>CUST-0153</t>
  </si>
  <si>
    <t>CUST-0154</t>
  </si>
  <si>
    <t>CUST-0155</t>
  </si>
  <si>
    <t>CUST-0156</t>
  </si>
  <si>
    <t>CUST-0157</t>
  </si>
  <si>
    <t>CUST-0158</t>
  </si>
  <si>
    <t>CUST-0159</t>
  </si>
  <si>
    <t>CUST-0160</t>
  </si>
  <si>
    <t>CUST-0161</t>
  </si>
  <si>
    <t>CUST-0162</t>
  </si>
  <si>
    <t>CUST-0163</t>
  </si>
  <si>
    <t>CUST-0164</t>
  </si>
  <si>
    <t>CUST-0165</t>
  </si>
  <si>
    <t>CUST-0166</t>
  </si>
  <si>
    <t>CUST-0167</t>
  </si>
  <si>
    <t>CUST-0168</t>
  </si>
  <si>
    <t>CUST-0169</t>
  </si>
  <si>
    <t>CUST-0170</t>
  </si>
  <si>
    <t>CUST-0171</t>
  </si>
  <si>
    <t>CUST-0172</t>
  </si>
  <si>
    <t>CUST-0173</t>
  </si>
  <si>
    <t>CUST-0174</t>
  </si>
  <si>
    <t>CUST-0175</t>
  </si>
  <si>
    <t>CUST-0176</t>
  </si>
  <si>
    <t>CUST-0177</t>
  </si>
  <si>
    <t>CUST-0178</t>
  </si>
  <si>
    <t>CUST-0179</t>
  </si>
  <si>
    <t>CUST-0180</t>
  </si>
  <si>
    <t>CUST-0181</t>
  </si>
  <si>
    <t>CUST-0182</t>
  </si>
  <si>
    <t>CUST-0183</t>
  </si>
  <si>
    <t>CUST-0184</t>
  </si>
  <si>
    <t>CUST-0185</t>
  </si>
  <si>
    <t>CUST-0186</t>
  </si>
  <si>
    <t>CUST-0187</t>
  </si>
  <si>
    <t>CUST-0188</t>
  </si>
  <si>
    <t>CUST-0189</t>
  </si>
  <si>
    <t>CUST-0190</t>
  </si>
  <si>
    <t>CUST-0191</t>
  </si>
  <si>
    <t>CUST-0192</t>
  </si>
  <si>
    <t>CUST-0193</t>
  </si>
  <si>
    <t>CUST-0194</t>
  </si>
  <si>
    <t>CUST-0195</t>
  </si>
  <si>
    <t>CUST-0196</t>
  </si>
  <si>
    <t>CUST-0197</t>
  </si>
  <si>
    <t>CUST-0198</t>
  </si>
  <si>
    <t>CUST-0199</t>
  </si>
  <si>
    <t>CUST-0200</t>
  </si>
  <si>
    <t>CUST-0201</t>
  </si>
  <si>
    <t>CUST-0202</t>
  </si>
  <si>
    <t>CUST-0203</t>
  </si>
  <si>
    <t>CUST-0204</t>
  </si>
  <si>
    <t>CUST-0205</t>
  </si>
  <si>
    <t>CUST-0206</t>
  </si>
  <si>
    <t>CUST-0207</t>
  </si>
  <si>
    <t>CUST-0208</t>
  </si>
  <si>
    <t>CUST-0209</t>
  </si>
  <si>
    <t>CUST-0210</t>
  </si>
  <si>
    <t>CUST-0211</t>
  </si>
  <si>
    <t>CUST-0212</t>
  </si>
  <si>
    <t>CUST-0213</t>
  </si>
  <si>
    <t>CUST-0214</t>
  </si>
  <si>
    <t>CUST-0215</t>
  </si>
  <si>
    <t>CUST-0216</t>
  </si>
  <si>
    <t>CUST-0217</t>
  </si>
  <si>
    <t>CUST-0218</t>
  </si>
  <si>
    <t>CUST-0219</t>
  </si>
  <si>
    <t>CUST-0220</t>
  </si>
  <si>
    <t>CUST-0221</t>
  </si>
  <si>
    <t>CUST-0222</t>
  </si>
  <si>
    <t>CUST-0223</t>
  </si>
  <si>
    <t>CUST-0224</t>
  </si>
  <si>
    <t>CUST-0225</t>
  </si>
  <si>
    <t>CUST-0226</t>
  </si>
  <si>
    <t>CUST-0227</t>
  </si>
  <si>
    <t>CUST-0228</t>
  </si>
  <si>
    <t>CUST-0229</t>
  </si>
  <si>
    <t>CUST-0230</t>
  </si>
  <si>
    <t>CUST-0231</t>
  </si>
  <si>
    <t>CUST-0232</t>
  </si>
  <si>
    <t>CUST-0233</t>
  </si>
  <si>
    <t>CUST-0234</t>
  </si>
  <si>
    <t>CUST-0235</t>
  </si>
  <si>
    <t>CUST-0236</t>
  </si>
  <si>
    <t>CUST-0237</t>
  </si>
  <si>
    <t>CUST-0238</t>
  </si>
  <si>
    <t>CUST-0239</t>
  </si>
  <si>
    <t>CUST-0240</t>
  </si>
  <si>
    <t>CUST-0241</t>
  </si>
  <si>
    <t>CUST-0242</t>
  </si>
  <si>
    <t>CUST-0243</t>
  </si>
  <si>
    <t>CUST-0244</t>
  </si>
  <si>
    <t>CUST-0245</t>
  </si>
  <si>
    <t>CUST-0246</t>
  </si>
  <si>
    <t>CUST-0247</t>
  </si>
  <si>
    <t>CUST-0248</t>
  </si>
  <si>
    <t>CUST-0249</t>
  </si>
  <si>
    <t>CUST-0250</t>
  </si>
  <si>
    <t>CUST-0251</t>
  </si>
  <si>
    <t>CUST-0252</t>
  </si>
  <si>
    <t>CUST-0253</t>
  </si>
  <si>
    <t>CUST-0254</t>
  </si>
  <si>
    <t>CUST-0255</t>
  </si>
  <si>
    <t>CUST-0256</t>
  </si>
  <si>
    <t>CUST-0257</t>
  </si>
  <si>
    <t>CUST-0258</t>
  </si>
  <si>
    <t>CUST-0259</t>
  </si>
  <si>
    <t>CUST-0260</t>
  </si>
  <si>
    <t>CUST-0261</t>
  </si>
  <si>
    <t>CUST-0262</t>
  </si>
  <si>
    <t>CUST-0263</t>
  </si>
  <si>
    <t>CUST-0264</t>
  </si>
  <si>
    <t>CUST-0265</t>
  </si>
  <si>
    <t>CUST-0266</t>
  </si>
  <si>
    <t>CUST-0267</t>
  </si>
  <si>
    <t>CUST-0268</t>
  </si>
  <si>
    <t>CUST-0269</t>
  </si>
  <si>
    <t>CUST-0270</t>
  </si>
  <si>
    <t>CUST-0271</t>
  </si>
  <si>
    <t>CUST-0272</t>
  </si>
  <si>
    <t>CUST-0273</t>
  </si>
  <si>
    <t>CUST-0274</t>
  </si>
  <si>
    <t>CUST-0275</t>
  </si>
  <si>
    <t>CUST-0276</t>
  </si>
  <si>
    <t>CUST-0277</t>
  </si>
  <si>
    <t>CUST-0278</t>
  </si>
  <si>
    <t>CUST-0279</t>
  </si>
  <si>
    <t>CUST-0280</t>
  </si>
  <si>
    <t>CUST-0281</t>
  </si>
  <si>
    <t>CUST-0282</t>
  </si>
  <si>
    <t>CUST-0283</t>
  </si>
  <si>
    <t>CUST-0284</t>
  </si>
  <si>
    <t>CUST-0285</t>
  </si>
  <si>
    <t>CUST-0286</t>
  </si>
  <si>
    <t>CUST-0287</t>
  </si>
  <si>
    <t>CUST-0288</t>
  </si>
  <si>
    <t>CUST-0289</t>
  </si>
  <si>
    <t>CUST-0290</t>
  </si>
  <si>
    <t>CUST-0291</t>
  </si>
  <si>
    <t>CUST-0292</t>
  </si>
  <si>
    <t>CUST-0293</t>
  </si>
  <si>
    <t>CUST-0294</t>
  </si>
  <si>
    <t>CUST-0295</t>
  </si>
  <si>
    <t>CUST-0296</t>
  </si>
  <si>
    <t>CUST-0297</t>
  </si>
  <si>
    <t>CUST-0298</t>
  </si>
  <si>
    <t>CUST-0299</t>
  </si>
  <si>
    <t>CUST-0300</t>
  </si>
  <si>
    <t>CUST-0301</t>
  </si>
  <si>
    <t>CUST-0302</t>
  </si>
  <si>
    <t>CUST-0303</t>
  </si>
  <si>
    <t>CUST-0304</t>
  </si>
  <si>
    <t>CUST-0305</t>
  </si>
  <si>
    <t>CUST-0306</t>
  </si>
  <si>
    <t>CUST-0307</t>
  </si>
  <si>
    <t>CUST-0308</t>
  </si>
  <si>
    <t>CUST-0309</t>
  </si>
  <si>
    <t>CUST-0310</t>
  </si>
  <si>
    <t>CUST-0311</t>
  </si>
  <si>
    <t>CUST-0312</t>
  </si>
  <si>
    <t>CUST-0313</t>
  </si>
  <si>
    <t>CUST-0314</t>
  </si>
  <si>
    <t>CUST-0315</t>
  </si>
  <si>
    <t>CUST-0316</t>
  </si>
  <si>
    <t>CUST-0317</t>
  </si>
  <si>
    <t>CUST-0318</t>
  </si>
  <si>
    <t>CUST-0319</t>
  </si>
  <si>
    <t>CUST-0320</t>
  </si>
  <si>
    <t>CUST-0321</t>
  </si>
  <si>
    <t>CUST-0322</t>
  </si>
  <si>
    <t>CUST-0323</t>
  </si>
  <si>
    <t>CUST-0324</t>
  </si>
  <si>
    <t>CUST-0325</t>
  </si>
  <si>
    <t>CUST-0326</t>
  </si>
  <si>
    <t>CUST-0327</t>
  </si>
  <si>
    <t>CUST-0328</t>
  </si>
  <si>
    <t>CUST-0329</t>
  </si>
  <si>
    <t>CUST-0330</t>
  </si>
  <si>
    <t>CUST-0331</t>
  </si>
  <si>
    <t>CUST-0332</t>
  </si>
  <si>
    <t>CUST-0333</t>
  </si>
  <si>
    <t>CUST-0334</t>
  </si>
  <si>
    <t>CUST-0335</t>
  </si>
  <si>
    <t>CUST-0336</t>
  </si>
  <si>
    <t>CUST-0337</t>
  </si>
  <si>
    <t>CUST-0338</t>
  </si>
  <si>
    <t>CUST-0339</t>
  </si>
  <si>
    <t>CUST-0340</t>
  </si>
  <si>
    <t>CUST-0341</t>
  </si>
  <si>
    <t>CUST-0342</t>
  </si>
  <si>
    <t>CUST-0343</t>
  </si>
  <si>
    <t>CUST-0344</t>
  </si>
  <si>
    <t>CUST-0345</t>
  </si>
  <si>
    <t>CUST-0346</t>
  </si>
  <si>
    <t>CUST-0347</t>
  </si>
  <si>
    <t>CUST-0348</t>
  </si>
  <si>
    <t>CUST-0349</t>
  </si>
  <si>
    <t>CUST-0350</t>
  </si>
  <si>
    <t>CUST-0351</t>
  </si>
  <si>
    <t>CUST-0352</t>
  </si>
  <si>
    <t>CUST-0353</t>
  </si>
  <si>
    <t>CUST-0354</t>
  </si>
  <si>
    <t>CUST-0355</t>
  </si>
  <si>
    <t>CUST-0356</t>
  </si>
  <si>
    <t>CUST-0357</t>
  </si>
  <si>
    <t>CUST-0358</t>
  </si>
  <si>
    <t>CUST-0359</t>
  </si>
  <si>
    <t>CUST-0360</t>
  </si>
  <si>
    <t>CUST-0361</t>
  </si>
  <si>
    <t>CUST-0362</t>
  </si>
  <si>
    <t>CUST-0363</t>
  </si>
  <si>
    <t>CUST-0364</t>
  </si>
  <si>
    <t>CUST-0365</t>
  </si>
  <si>
    <t>CUST-0366</t>
  </si>
  <si>
    <t>CUST-0367</t>
  </si>
  <si>
    <t>CUST-0368</t>
  </si>
  <si>
    <t>CUST-0369</t>
  </si>
  <si>
    <t>CUST-0370</t>
  </si>
  <si>
    <t>CUST-0371</t>
  </si>
  <si>
    <t>CUST-0372</t>
  </si>
  <si>
    <t>CUST-0373</t>
  </si>
  <si>
    <t>CUST-0374</t>
  </si>
  <si>
    <t>CUST-0375</t>
  </si>
  <si>
    <t>CUST-0376</t>
  </si>
  <si>
    <t>CUST-0377</t>
  </si>
  <si>
    <t>CUST-0378</t>
  </si>
  <si>
    <t>CUST-0379</t>
  </si>
  <si>
    <t>CUST-0380</t>
  </si>
  <si>
    <t>CUST-0381</t>
  </si>
  <si>
    <t>CUST-0382</t>
  </si>
  <si>
    <t>CUST-0383</t>
  </si>
  <si>
    <t>CUST-0384</t>
  </si>
  <si>
    <t>CUST-0385</t>
  </si>
  <si>
    <t>CUST-0386</t>
  </si>
  <si>
    <t>CUST-0387</t>
  </si>
  <si>
    <t>CUST-0388</t>
  </si>
  <si>
    <t>CUST-0389</t>
  </si>
  <si>
    <t>CUST-0390</t>
  </si>
  <si>
    <t>CUST-0391</t>
  </si>
  <si>
    <t>CUST-0392</t>
  </si>
  <si>
    <t>CUST-0393</t>
  </si>
  <si>
    <t>CUST-0394</t>
  </si>
  <si>
    <t>CUST-0395</t>
  </si>
  <si>
    <t>CUST-0396</t>
  </si>
  <si>
    <t>CUST-0397</t>
  </si>
  <si>
    <t>CUST-0398</t>
  </si>
  <si>
    <t>CUST-0399</t>
  </si>
  <si>
    <t>CUST-0400</t>
  </si>
  <si>
    <t>CUST-0401</t>
  </si>
  <si>
    <t>CUST-0402</t>
  </si>
  <si>
    <t>CUST-0403</t>
  </si>
  <si>
    <t>CUST-0404</t>
  </si>
  <si>
    <t>CUST-0405</t>
  </si>
  <si>
    <t>CUST-0406</t>
  </si>
  <si>
    <t>CUST-0407</t>
  </si>
  <si>
    <t>CUST-0408</t>
  </si>
  <si>
    <t>CUST-0409</t>
  </si>
  <si>
    <t>CUST-0410</t>
  </si>
  <si>
    <t>CUST-0411</t>
  </si>
  <si>
    <t>CUST-0412</t>
  </si>
  <si>
    <t>CUST-0413</t>
  </si>
  <si>
    <t>CUST-0414</t>
  </si>
  <si>
    <t>CUST-0415</t>
  </si>
  <si>
    <t>CUST-0416</t>
  </si>
  <si>
    <t>CUST-0417</t>
  </si>
  <si>
    <t>CUST-0418</t>
  </si>
  <si>
    <t>CUST-0419</t>
  </si>
  <si>
    <t>CUST-0420</t>
  </si>
  <si>
    <t>CUST-0421</t>
  </si>
  <si>
    <t>CUST-0422</t>
  </si>
  <si>
    <t>CUST-0423</t>
  </si>
  <si>
    <t>CUST-0424</t>
  </si>
  <si>
    <t>CUST-0425</t>
  </si>
  <si>
    <t>CUST-0426</t>
  </si>
  <si>
    <t>CUST-0427</t>
  </si>
  <si>
    <t>CUST-0428</t>
  </si>
  <si>
    <t>CUST-0429</t>
  </si>
  <si>
    <t>CUST-0430</t>
  </si>
  <si>
    <t>CUST-0431</t>
  </si>
  <si>
    <t>CUST-0432</t>
  </si>
  <si>
    <t>CUST-0433</t>
  </si>
  <si>
    <t>CUST-0434</t>
  </si>
  <si>
    <t>CUST-0435</t>
  </si>
  <si>
    <t>CUST-0436</t>
  </si>
  <si>
    <t>CUST-0437</t>
  </si>
  <si>
    <t>CUST-0438</t>
  </si>
  <si>
    <t>CUST-0439</t>
  </si>
  <si>
    <t>CUST-0440</t>
  </si>
  <si>
    <t>CUST-0441</t>
  </si>
  <si>
    <t>CUST-0442</t>
  </si>
  <si>
    <t>CUST-0443</t>
  </si>
  <si>
    <t>CUST-0444</t>
  </si>
  <si>
    <t>CUST-0445</t>
  </si>
  <si>
    <t>CUST-0446</t>
  </si>
  <si>
    <t>CUST-0447</t>
  </si>
  <si>
    <t>CUST-0448</t>
  </si>
  <si>
    <t>CUST-0449</t>
  </si>
  <si>
    <t>CUST-0450</t>
  </si>
  <si>
    <t>CUST-0451</t>
  </si>
  <si>
    <t>CUST-0452</t>
  </si>
  <si>
    <t>CUST-0453</t>
  </si>
  <si>
    <t>CUST-0454</t>
  </si>
  <si>
    <t>CUST-0455</t>
  </si>
  <si>
    <t>CUST-0456</t>
  </si>
  <si>
    <t>CUST-0457</t>
  </si>
  <si>
    <t>CUST-0458</t>
  </si>
  <si>
    <t>CUST-0459</t>
  </si>
  <si>
    <t>CUST-0460</t>
  </si>
  <si>
    <t>CUST-0461</t>
  </si>
  <si>
    <t>CUST-0462</t>
  </si>
  <si>
    <t>CUST-0463</t>
  </si>
  <si>
    <t>CUST-0464</t>
  </si>
  <si>
    <t>CUST-0465</t>
  </si>
  <si>
    <t>CUST-0466</t>
  </si>
  <si>
    <t>CUST-0467</t>
  </si>
  <si>
    <t>CUST-0468</t>
  </si>
  <si>
    <t>CUST-0469</t>
  </si>
  <si>
    <t>CUST-0470</t>
  </si>
  <si>
    <t>CUST-0471</t>
  </si>
  <si>
    <t>CUST-0472</t>
  </si>
  <si>
    <t>CUST-0473</t>
  </si>
  <si>
    <t>CUST-0474</t>
  </si>
  <si>
    <t>CUST-0475</t>
  </si>
  <si>
    <t>CUST-0476</t>
  </si>
  <si>
    <t>CUST-0477</t>
  </si>
  <si>
    <t>CUST-0478</t>
  </si>
  <si>
    <t>CUST-0479</t>
  </si>
  <si>
    <t>CUST-0480</t>
  </si>
  <si>
    <t>CUST-0481</t>
  </si>
  <si>
    <t>CUST-0482</t>
  </si>
  <si>
    <t>CUST-0483</t>
  </si>
  <si>
    <t>CUST-0484</t>
  </si>
  <si>
    <t>CUST-0485</t>
  </si>
  <si>
    <t>CUST-0486</t>
  </si>
  <si>
    <t>CUST-0487</t>
  </si>
  <si>
    <t>CUST-0488</t>
  </si>
  <si>
    <t>CUST-0489</t>
  </si>
  <si>
    <t>CUST-0490</t>
  </si>
  <si>
    <t>CUST-0491</t>
  </si>
  <si>
    <t>CUST-0492</t>
  </si>
  <si>
    <t>CUST-0493</t>
  </si>
  <si>
    <t>CUST-0494</t>
  </si>
  <si>
    <t>CUST-0495</t>
  </si>
  <si>
    <t>CUST-0496</t>
  </si>
  <si>
    <t>CUST-0497</t>
  </si>
  <si>
    <t>CUST-0498</t>
  </si>
  <si>
    <t>CUST-0499</t>
  </si>
  <si>
    <t>CUST-0500</t>
  </si>
  <si>
    <t>CUST-0501</t>
  </si>
  <si>
    <t>CUST-0502</t>
  </si>
  <si>
    <t>CUST-0503</t>
  </si>
  <si>
    <t>CUST-0504</t>
  </si>
  <si>
    <t>CUST-0505</t>
  </si>
  <si>
    <t>CUST-0506</t>
  </si>
  <si>
    <t>CUST-0507</t>
  </si>
  <si>
    <t>CUST-0508</t>
  </si>
  <si>
    <t>CUST-0509</t>
  </si>
  <si>
    <t>CUST-0510</t>
  </si>
  <si>
    <t>CUST-0511</t>
  </si>
  <si>
    <t>CUST-0512</t>
  </si>
  <si>
    <t>CUST-0513</t>
  </si>
  <si>
    <t>CUST-0514</t>
  </si>
  <si>
    <t>CUST-0515</t>
  </si>
  <si>
    <t>CUST-0516</t>
  </si>
  <si>
    <t>CUST-0517</t>
  </si>
  <si>
    <t>CUST-0518</t>
  </si>
  <si>
    <t>CUST-0519</t>
  </si>
  <si>
    <t>CUST-0520</t>
  </si>
  <si>
    <t>CUST-0521</t>
  </si>
  <si>
    <t>CUST-0522</t>
  </si>
  <si>
    <t>CUST-0523</t>
  </si>
  <si>
    <t>CUST-0524</t>
  </si>
  <si>
    <t>CUST-0525</t>
  </si>
  <si>
    <t>CUST-0526</t>
  </si>
  <si>
    <t>CUST-0527</t>
  </si>
  <si>
    <t>CUST-0528</t>
  </si>
  <si>
    <t>CUST-0529</t>
  </si>
  <si>
    <t>CUST-0530</t>
  </si>
  <si>
    <t>CUST-0531</t>
  </si>
  <si>
    <t>CUST-0532</t>
  </si>
  <si>
    <t>CUST-0533</t>
  </si>
  <si>
    <t>CUST-0534</t>
  </si>
  <si>
    <t>CUST-0535</t>
  </si>
  <si>
    <t>CUST-0536</t>
  </si>
  <si>
    <t>CUST-0537</t>
  </si>
  <si>
    <t>CUST-0538</t>
  </si>
  <si>
    <t>CUST-0539</t>
  </si>
  <si>
    <t>CUST-0540</t>
  </si>
  <si>
    <t>CUST-0541</t>
  </si>
  <si>
    <t>CUST-0542</t>
  </si>
  <si>
    <t>CUST-0543</t>
  </si>
  <si>
    <t>CUST-0544</t>
  </si>
  <si>
    <t>CUST-0545</t>
  </si>
  <si>
    <t>CUST-0546</t>
  </si>
  <si>
    <t>CUST-0547</t>
  </si>
  <si>
    <t>CUST-0548</t>
  </si>
  <si>
    <t>CUST-0549</t>
  </si>
  <si>
    <t>CUST-0550</t>
  </si>
  <si>
    <t>CUST-0551</t>
  </si>
  <si>
    <t>CUST-0552</t>
  </si>
  <si>
    <t>CUST-0553</t>
  </si>
  <si>
    <t>CUST-0554</t>
  </si>
  <si>
    <t>CUST-0555</t>
  </si>
  <si>
    <t>CUST-0556</t>
  </si>
  <si>
    <t>CUST-0557</t>
  </si>
  <si>
    <t>CUST-0558</t>
  </si>
  <si>
    <t>CUST-0559</t>
  </si>
  <si>
    <t>CUST-0560</t>
  </si>
  <si>
    <t>CUST-0561</t>
  </si>
  <si>
    <t>CUST-0562</t>
  </si>
  <si>
    <t>CUST-0563</t>
  </si>
  <si>
    <t>CUST-0564</t>
  </si>
  <si>
    <t>CUST-0565</t>
  </si>
  <si>
    <t>CUST-0566</t>
  </si>
  <si>
    <t>CUST-0567</t>
  </si>
  <si>
    <t>CUST-0568</t>
  </si>
  <si>
    <t>CUST-0569</t>
  </si>
  <si>
    <t>CUST-0570</t>
  </si>
  <si>
    <t>CUST-0571</t>
  </si>
  <si>
    <t>CUST-0572</t>
  </si>
  <si>
    <t>CUST-0573</t>
  </si>
  <si>
    <t>CUST-0574</t>
  </si>
  <si>
    <t>CUST-0575</t>
  </si>
  <si>
    <t>CUST-0576</t>
  </si>
  <si>
    <t>CUST-0577</t>
  </si>
  <si>
    <t>CUST-0578</t>
  </si>
  <si>
    <t>CUST-0579</t>
  </si>
  <si>
    <t>CUST-0580</t>
  </si>
  <si>
    <t>CUST-0581</t>
  </si>
  <si>
    <t>CUST-0582</t>
  </si>
  <si>
    <t>CUST-0583</t>
  </si>
  <si>
    <t>CUST-0584</t>
  </si>
  <si>
    <t>CUST-0585</t>
  </si>
  <si>
    <t>CUST-0586</t>
  </si>
  <si>
    <t>CUST-0587</t>
  </si>
  <si>
    <t>CUST-0588</t>
  </si>
  <si>
    <t>CUST-0589</t>
  </si>
  <si>
    <t>CUST-0590</t>
  </si>
  <si>
    <t>CUST-0591</t>
  </si>
  <si>
    <t>CUST-0592</t>
  </si>
  <si>
    <t>CUST-0593</t>
  </si>
  <si>
    <t>CUST-0594</t>
  </si>
  <si>
    <t>CUST-0595</t>
  </si>
  <si>
    <t>CUST-0596</t>
  </si>
  <si>
    <t>CUST-0597</t>
  </si>
  <si>
    <t>CUST-0598</t>
  </si>
  <si>
    <t>CUST-0599</t>
  </si>
  <si>
    <t>CUST-0600</t>
  </si>
  <si>
    <t>churn_month</t>
  </si>
  <si>
    <t>signup_month</t>
  </si>
  <si>
    <t>Row Labels</t>
  </si>
  <si>
    <t>Grand Total</t>
  </si>
  <si>
    <t>Count of customer_id</t>
  </si>
  <si>
    <t>churn</t>
  </si>
  <si>
    <t>Column Labels</t>
  </si>
  <si>
    <t>usage_feature</t>
  </si>
  <si>
    <t>High Usage</t>
  </si>
  <si>
    <t>Moderate Usage</t>
  </si>
  <si>
    <t>Very High Usage</t>
  </si>
  <si>
    <t>Very Low Usage</t>
  </si>
  <si>
    <t>2022</t>
  </si>
  <si>
    <t>2023</t>
  </si>
  <si>
    <t>2024</t>
  </si>
  <si>
    <t>2025</t>
  </si>
  <si>
    <t>date</t>
  </si>
  <si>
    <t>new customer</t>
  </si>
  <si>
    <t>Existing customer</t>
  </si>
  <si>
    <t>total customer at end month</t>
  </si>
  <si>
    <t>Churn rate</t>
  </si>
  <si>
    <t>Year</t>
  </si>
  <si>
    <t xml:space="preserve">total customer at end </t>
  </si>
  <si>
    <t xml:space="preserve">Average </t>
  </si>
  <si>
    <t>customer lifetime(months)</t>
  </si>
  <si>
    <t>average</t>
  </si>
  <si>
    <t>customerlifetime (years)</t>
  </si>
  <si>
    <t>customerlifetime (months)</t>
  </si>
  <si>
    <t>* monthly plan have higher churn rate</t>
  </si>
  <si>
    <t>Average of monthly_churn_rate_pct</t>
  </si>
  <si>
    <t>Sum of churned_customers</t>
  </si>
  <si>
    <t>Sum of new_customers</t>
  </si>
  <si>
    <t>montlhy_churn_rate_num</t>
  </si>
  <si>
    <t>Sum of churned_customers2</t>
  </si>
  <si>
    <t>Sum of new_customers2</t>
  </si>
  <si>
    <t>new mrr</t>
  </si>
  <si>
    <t>churned mrr</t>
  </si>
  <si>
    <t>Sum of total_mrr</t>
  </si>
  <si>
    <t>Sum of New MRR</t>
  </si>
  <si>
    <t>Sum of Churned MRR</t>
  </si>
  <si>
    <t>Sum of Different</t>
  </si>
  <si>
    <t>revenue growth</t>
  </si>
  <si>
    <t>new mrr growth</t>
  </si>
  <si>
    <t>churned mrr growth</t>
  </si>
  <si>
    <t>different new vs 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</si>
</sst>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right"/>
    </xf>
    <xf numFmtId="10" fontId="0" fillId="0" borderId="0" xfId="0" applyNumberFormat="1"/>
    <xf numFmtId="43" fontId="0" fillId="0" borderId="0" xfId="0" applyNumberFormat="1"/>
  </cellXfs>
  <cellStyles count="2">
    <cellStyle name="Normal" xfId="0" builtinId="0"/>
    <cellStyle name="Percent" xfId="1" builtinId="5"/>
  </cellStyles>
  <dxfs count="29"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[Cloudtask projects.xlsx]Churn Overall!PivotTable1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'Churn Overall'!$H$3</c:f>
              <c:strCache>
                <c:ptCount val="1"/>
                <c:pt idx="0">
                  <c:v>Sum of churned_customers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'Churn Overall'!$G$4:$G$52</c:f>
              <c:strCache>
                <c:ptCount val="48"/>
                <c:pt idx="0">
                  <c:v>1/1/2022</c:v>
                </c:pt>
                <c:pt idx="1">
                  <c:v>1/2/2022</c:v>
                </c:pt>
                <c:pt idx="2">
                  <c:v>1/3/2022</c:v>
                </c:pt>
                <c:pt idx="3">
                  <c:v>1/4/2022</c:v>
                </c:pt>
                <c:pt idx="4">
                  <c:v>1/5/2022</c:v>
                </c:pt>
                <c:pt idx="5">
                  <c:v>1/6/2022</c:v>
                </c:pt>
                <c:pt idx="6">
                  <c:v>1/7/2022</c:v>
                </c:pt>
                <c:pt idx="7">
                  <c:v>1/8/2022</c:v>
                </c:pt>
                <c:pt idx="8">
                  <c:v>1/9/2022</c:v>
                </c:pt>
                <c:pt idx="9">
                  <c:v>1/10/2022</c:v>
                </c:pt>
                <c:pt idx="10">
                  <c:v>1/11/2022</c:v>
                </c:pt>
                <c:pt idx="11">
                  <c:v>1/12/2022</c:v>
                </c:pt>
                <c:pt idx="12">
                  <c:v>1/1/2023</c:v>
                </c:pt>
                <c:pt idx="13">
                  <c:v>1/2/2023</c:v>
                </c:pt>
                <c:pt idx="14">
                  <c:v>1/3/2023</c:v>
                </c:pt>
                <c:pt idx="15">
                  <c:v>1/4/2023</c:v>
                </c:pt>
                <c:pt idx="16">
                  <c:v>1/5/2023</c:v>
                </c:pt>
                <c:pt idx="17">
                  <c:v>1/6/2023</c:v>
                </c:pt>
                <c:pt idx="18">
                  <c:v>1/7/2023</c:v>
                </c:pt>
                <c:pt idx="19">
                  <c:v>1/8/2023</c:v>
                </c:pt>
                <c:pt idx="20">
                  <c:v>1/9/2023</c:v>
                </c:pt>
                <c:pt idx="21">
                  <c:v>1/10/2023</c:v>
                </c:pt>
                <c:pt idx="22">
                  <c:v>1/11/2023</c:v>
                </c:pt>
                <c:pt idx="23">
                  <c:v>1/12/2023</c:v>
                </c:pt>
                <c:pt idx="24">
                  <c:v>1/1/2024</c:v>
                </c:pt>
                <c:pt idx="25">
                  <c:v>1/2/2024</c:v>
                </c:pt>
                <c:pt idx="26">
                  <c:v>1/3/2024</c:v>
                </c:pt>
                <c:pt idx="27">
                  <c:v>1/4/2024</c:v>
                </c:pt>
                <c:pt idx="28">
                  <c:v>1/5/2024</c:v>
                </c:pt>
                <c:pt idx="29">
                  <c:v>1/6/2024</c:v>
                </c:pt>
                <c:pt idx="30">
                  <c:v>1/7/2024</c:v>
                </c:pt>
                <c:pt idx="31">
                  <c:v>1/8/2024</c:v>
                </c:pt>
                <c:pt idx="32">
                  <c:v>1/9/2024</c:v>
                </c:pt>
                <c:pt idx="33">
                  <c:v>1/10/2024</c:v>
                </c:pt>
                <c:pt idx="34">
                  <c:v>1/11/2024</c:v>
                </c:pt>
                <c:pt idx="35">
                  <c:v>1/12/2024</c:v>
                </c:pt>
                <c:pt idx="36">
                  <c:v>1/1/2025</c:v>
                </c:pt>
                <c:pt idx="37">
                  <c:v>1/2/2025</c:v>
                </c:pt>
                <c:pt idx="38">
                  <c:v>1/3/2025</c:v>
                </c:pt>
                <c:pt idx="39">
                  <c:v>1/4/2025</c:v>
                </c:pt>
                <c:pt idx="40">
                  <c:v>1/5/2025</c:v>
                </c:pt>
                <c:pt idx="41">
                  <c:v>1/6/2025</c:v>
                </c:pt>
                <c:pt idx="42">
                  <c:v>1/7/2025</c:v>
                </c:pt>
                <c:pt idx="43">
                  <c:v>1/8/2025</c:v>
                </c:pt>
                <c:pt idx="44">
                  <c:v>1/9/2025</c:v>
                </c:pt>
                <c:pt idx="45">
                  <c:v>1/10/2025</c:v>
                </c:pt>
                <c:pt idx="46">
                  <c:v>1/11/2025</c:v>
                </c:pt>
                <c:pt idx="47">
                  <c:v>1/12/2025</c:v>
                </c:pt>
              </c:strCache>
            </c:strRef>
          </c:cat>
          <c:val>
            <c:numRef>
              <c:f>'Churn Overall'!$H$4:$H$52</c:f>
              <c:numCache>
                <c:formatCode>0.00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10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5</c:v>
                </c:pt>
                <c:pt idx="22">
                  <c:v>8</c:v>
                </c:pt>
                <c:pt idx="23">
                  <c:v>7</c:v>
                </c:pt>
                <c:pt idx="24">
                  <c:v>7</c:v>
                </c:pt>
                <c:pt idx="25">
                  <c:v>8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9</c:v>
                </c:pt>
                <c:pt idx="30">
                  <c:v>8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8</c:v>
                </c:pt>
                <c:pt idx="38">
                  <c:v>7</c:v>
                </c:pt>
                <c:pt idx="39">
                  <c:v>17</c:v>
                </c:pt>
                <c:pt idx="40">
                  <c:v>15</c:v>
                </c:pt>
                <c:pt idx="41">
                  <c:v>11</c:v>
                </c:pt>
                <c:pt idx="42">
                  <c:v>9</c:v>
                </c:pt>
                <c:pt idx="43">
                  <c:v>7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AE-455C-85D3-6F171B3A7940}"/>
            </c:ext>
          </c:extLst>
        </c:ser>
        <c:ser>
          <c:idx val="1"/>
          <c:order val="1"/>
          <c:tx>
            <c:strRef>
              <c:f>'Churn Overall'!$I$3</c:f>
              <c:strCache>
                <c:ptCount val="1"/>
                <c:pt idx="0">
                  <c:v>Sum of churned_customers2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Overall'!$G$4:$G$52</c:f>
              <c:strCache>
                <c:ptCount val="48"/>
                <c:pt idx="0">
                  <c:v>1/1/2022</c:v>
                </c:pt>
                <c:pt idx="1">
                  <c:v>1/2/2022</c:v>
                </c:pt>
                <c:pt idx="2">
                  <c:v>1/3/2022</c:v>
                </c:pt>
                <c:pt idx="3">
                  <c:v>1/4/2022</c:v>
                </c:pt>
                <c:pt idx="4">
                  <c:v>1/5/2022</c:v>
                </c:pt>
                <c:pt idx="5">
                  <c:v>1/6/2022</c:v>
                </c:pt>
                <c:pt idx="6">
                  <c:v>1/7/2022</c:v>
                </c:pt>
                <c:pt idx="7">
                  <c:v>1/8/2022</c:v>
                </c:pt>
                <c:pt idx="8">
                  <c:v>1/9/2022</c:v>
                </c:pt>
                <c:pt idx="9">
                  <c:v>1/10/2022</c:v>
                </c:pt>
                <c:pt idx="10">
                  <c:v>1/11/2022</c:v>
                </c:pt>
                <c:pt idx="11">
                  <c:v>1/12/2022</c:v>
                </c:pt>
                <c:pt idx="12">
                  <c:v>1/1/2023</c:v>
                </c:pt>
                <c:pt idx="13">
                  <c:v>1/2/2023</c:v>
                </c:pt>
                <c:pt idx="14">
                  <c:v>1/3/2023</c:v>
                </c:pt>
                <c:pt idx="15">
                  <c:v>1/4/2023</c:v>
                </c:pt>
                <c:pt idx="16">
                  <c:v>1/5/2023</c:v>
                </c:pt>
                <c:pt idx="17">
                  <c:v>1/6/2023</c:v>
                </c:pt>
                <c:pt idx="18">
                  <c:v>1/7/2023</c:v>
                </c:pt>
                <c:pt idx="19">
                  <c:v>1/8/2023</c:v>
                </c:pt>
                <c:pt idx="20">
                  <c:v>1/9/2023</c:v>
                </c:pt>
                <c:pt idx="21">
                  <c:v>1/10/2023</c:v>
                </c:pt>
                <c:pt idx="22">
                  <c:v>1/11/2023</c:v>
                </c:pt>
                <c:pt idx="23">
                  <c:v>1/12/2023</c:v>
                </c:pt>
                <c:pt idx="24">
                  <c:v>1/1/2024</c:v>
                </c:pt>
                <c:pt idx="25">
                  <c:v>1/2/2024</c:v>
                </c:pt>
                <c:pt idx="26">
                  <c:v>1/3/2024</c:v>
                </c:pt>
                <c:pt idx="27">
                  <c:v>1/4/2024</c:v>
                </c:pt>
                <c:pt idx="28">
                  <c:v>1/5/2024</c:v>
                </c:pt>
                <c:pt idx="29">
                  <c:v>1/6/2024</c:v>
                </c:pt>
                <c:pt idx="30">
                  <c:v>1/7/2024</c:v>
                </c:pt>
                <c:pt idx="31">
                  <c:v>1/8/2024</c:v>
                </c:pt>
                <c:pt idx="32">
                  <c:v>1/9/2024</c:v>
                </c:pt>
                <c:pt idx="33">
                  <c:v>1/10/2024</c:v>
                </c:pt>
                <c:pt idx="34">
                  <c:v>1/11/2024</c:v>
                </c:pt>
                <c:pt idx="35">
                  <c:v>1/12/2024</c:v>
                </c:pt>
                <c:pt idx="36">
                  <c:v>1/1/2025</c:v>
                </c:pt>
                <c:pt idx="37">
                  <c:v>1/2/2025</c:v>
                </c:pt>
                <c:pt idx="38">
                  <c:v>1/3/2025</c:v>
                </c:pt>
                <c:pt idx="39">
                  <c:v>1/4/2025</c:v>
                </c:pt>
                <c:pt idx="40">
                  <c:v>1/5/2025</c:v>
                </c:pt>
                <c:pt idx="41">
                  <c:v>1/6/2025</c:v>
                </c:pt>
                <c:pt idx="42">
                  <c:v>1/7/2025</c:v>
                </c:pt>
                <c:pt idx="43">
                  <c:v>1/8/2025</c:v>
                </c:pt>
                <c:pt idx="44">
                  <c:v>1/9/2025</c:v>
                </c:pt>
                <c:pt idx="45">
                  <c:v>1/10/2025</c:v>
                </c:pt>
                <c:pt idx="46">
                  <c:v>1/11/2025</c:v>
                </c:pt>
                <c:pt idx="47">
                  <c:v>1/12/2025</c:v>
                </c:pt>
              </c:strCache>
            </c:strRef>
          </c:cat>
          <c:val>
            <c:numRef>
              <c:f>'Churn Overall'!$I$4:$I$52</c:f>
              <c:numCache>
                <c:formatCode>0.00%</c:formatCode>
                <c:ptCount val="48"/>
                <c:pt idx="1">
                  <c:v>#N/A</c:v>
                </c:pt>
                <c:pt idx="2">
                  <c:v>-1</c:v>
                </c:pt>
                <c:pt idx="3">
                  <c:v>#N/A</c:v>
                </c:pt>
                <c:pt idx="4">
                  <c:v>-0.66666666666666663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-0.16666666666666666</c:v>
                </c:pt>
                <c:pt idx="9">
                  <c:v>0</c:v>
                </c:pt>
                <c:pt idx="10">
                  <c:v>0</c:v>
                </c:pt>
                <c:pt idx="11">
                  <c:v>-0.6</c:v>
                </c:pt>
                <c:pt idx="12">
                  <c:v>1</c:v>
                </c:pt>
                <c:pt idx="13">
                  <c:v>-0.25</c:v>
                </c:pt>
                <c:pt idx="14">
                  <c:v>-0.33333333333333331</c:v>
                </c:pt>
                <c:pt idx="15">
                  <c:v>3</c:v>
                </c:pt>
                <c:pt idx="16">
                  <c:v>-0.5</c:v>
                </c:pt>
                <c:pt idx="17">
                  <c:v>1.5</c:v>
                </c:pt>
                <c:pt idx="18">
                  <c:v>-0.3</c:v>
                </c:pt>
                <c:pt idx="19">
                  <c:v>0</c:v>
                </c:pt>
                <c:pt idx="20">
                  <c:v>0</c:v>
                </c:pt>
                <c:pt idx="21">
                  <c:v>-0.2857142857142857</c:v>
                </c:pt>
                <c:pt idx="22">
                  <c:v>0.6</c:v>
                </c:pt>
                <c:pt idx="23">
                  <c:v>-0.125</c:v>
                </c:pt>
                <c:pt idx="24">
                  <c:v>0</c:v>
                </c:pt>
                <c:pt idx="25">
                  <c:v>0.14285714285714285</c:v>
                </c:pt>
                <c:pt idx="26">
                  <c:v>-0.5</c:v>
                </c:pt>
                <c:pt idx="27">
                  <c:v>1</c:v>
                </c:pt>
                <c:pt idx="28">
                  <c:v>0</c:v>
                </c:pt>
                <c:pt idx="29">
                  <c:v>0.125</c:v>
                </c:pt>
                <c:pt idx="30">
                  <c:v>-0.1111111111111111</c:v>
                </c:pt>
                <c:pt idx="31">
                  <c:v>-0.125</c:v>
                </c:pt>
                <c:pt idx="32">
                  <c:v>0</c:v>
                </c:pt>
                <c:pt idx="33">
                  <c:v>0</c:v>
                </c:pt>
                <c:pt idx="34">
                  <c:v>0.2857142857142857</c:v>
                </c:pt>
                <c:pt idx="35">
                  <c:v>0</c:v>
                </c:pt>
                <c:pt idx="36">
                  <c:v>0</c:v>
                </c:pt>
                <c:pt idx="37">
                  <c:v>-0.1111111111111111</c:v>
                </c:pt>
                <c:pt idx="38">
                  <c:v>-0.125</c:v>
                </c:pt>
                <c:pt idx="39">
                  <c:v>1.4285714285714286</c:v>
                </c:pt>
                <c:pt idx="40">
                  <c:v>-0.11764705882352941</c:v>
                </c:pt>
                <c:pt idx="41">
                  <c:v>-0.26666666666666666</c:v>
                </c:pt>
                <c:pt idx="42">
                  <c:v>-0.18181818181818182</c:v>
                </c:pt>
                <c:pt idx="43">
                  <c:v>-0.22222222222222221</c:v>
                </c:pt>
                <c:pt idx="44">
                  <c:v>0.2857142857142857</c:v>
                </c:pt>
                <c:pt idx="45">
                  <c:v>0</c:v>
                </c:pt>
                <c:pt idx="46">
                  <c:v>0</c:v>
                </c:pt>
                <c:pt idx="47">
                  <c:v>-0.55555555555555558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AE-455C-85D3-6F171B3A7940}"/>
            </c:ext>
          </c:extLst>
        </c:ser>
        <c:ser>
          <c:idx val="2"/>
          <c:order val="2"/>
          <c:tx>
            <c:strRef>
              <c:f>'Churn Overall'!$J$3</c:f>
              <c:strCache>
                <c:ptCount val="1"/>
                <c:pt idx="0">
                  <c:v>Sum of new_customers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'Churn Overall'!$G$4:$G$52</c:f>
              <c:strCache>
                <c:ptCount val="48"/>
                <c:pt idx="0">
                  <c:v>1/1/2022</c:v>
                </c:pt>
                <c:pt idx="1">
                  <c:v>1/2/2022</c:v>
                </c:pt>
                <c:pt idx="2">
                  <c:v>1/3/2022</c:v>
                </c:pt>
                <c:pt idx="3">
                  <c:v>1/4/2022</c:v>
                </c:pt>
                <c:pt idx="4">
                  <c:v>1/5/2022</c:v>
                </c:pt>
                <c:pt idx="5">
                  <c:v>1/6/2022</c:v>
                </c:pt>
                <c:pt idx="6">
                  <c:v>1/7/2022</c:v>
                </c:pt>
                <c:pt idx="7">
                  <c:v>1/8/2022</c:v>
                </c:pt>
                <c:pt idx="8">
                  <c:v>1/9/2022</c:v>
                </c:pt>
                <c:pt idx="9">
                  <c:v>1/10/2022</c:v>
                </c:pt>
                <c:pt idx="10">
                  <c:v>1/11/2022</c:v>
                </c:pt>
                <c:pt idx="11">
                  <c:v>1/12/2022</c:v>
                </c:pt>
                <c:pt idx="12">
                  <c:v>1/1/2023</c:v>
                </c:pt>
                <c:pt idx="13">
                  <c:v>1/2/2023</c:v>
                </c:pt>
                <c:pt idx="14">
                  <c:v>1/3/2023</c:v>
                </c:pt>
                <c:pt idx="15">
                  <c:v>1/4/2023</c:v>
                </c:pt>
                <c:pt idx="16">
                  <c:v>1/5/2023</c:v>
                </c:pt>
                <c:pt idx="17">
                  <c:v>1/6/2023</c:v>
                </c:pt>
                <c:pt idx="18">
                  <c:v>1/7/2023</c:v>
                </c:pt>
                <c:pt idx="19">
                  <c:v>1/8/2023</c:v>
                </c:pt>
                <c:pt idx="20">
                  <c:v>1/9/2023</c:v>
                </c:pt>
                <c:pt idx="21">
                  <c:v>1/10/2023</c:v>
                </c:pt>
                <c:pt idx="22">
                  <c:v>1/11/2023</c:v>
                </c:pt>
                <c:pt idx="23">
                  <c:v>1/12/2023</c:v>
                </c:pt>
                <c:pt idx="24">
                  <c:v>1/1/2024</c:v>
                </c:pt>
                <c:pt idx="25">
                  <c:v>1/2/2024</c:v>
                </c:pt>
                <c:pt idx="26">
                  <c:v>1/3/2024</c:v>
                </c:pt>
                <c:pt idx="27">
                  <c:v>1/4/2024</c:v>
                </c:pt>
                <c:pt idx="28">
                  <c:v>1/5/2024</c:v>
                </c:pt>
                <c:pt idx="29">
                  <c:v>1/6/2024</c:v>
                </c:pt>
                <c:pt idx="30">
                  <c:v>1/7/2024</c:v>
                </c:pt>
                <c:pt idx="31">
                  <c:v>1/8/2024</c:v>
                </c:pt>
                <c:pt idx="32">
                  <c:v>1/9/2024</c:v>
                </c:pt>
                <c:pt idx="33">
                  <c:v>1/10/2024</c:v>
                </c:pt>
                <c:pt idx="34">
                  <c:v>1/11/2024</c:v>
                </c:pt>
                <c:pt idx="35">
                  <c:v>1/12/2024</c:v>
                </c:pt>
                <c:pt idx="36">
                  <c:v>1/1/2025</c:v>
                </c:pt>
                <c:pt idx="37">
                  <c:v>1/2/2025</c:v>
                </c:pt>
                <c:pt idx="38">
                  <c:v>1/3/2025</c:v>
                </c:pt>
                <c:pt idx="39">
                  <c:v>1/4/2025</c:v>
                </c:pt>
                <c:pt idx="40">
                  <c:v>1/5/2025</c:v>
                </c:pt>
                <c:pt idx="41">
                  <c:v>1/6/2025</c:v>
                </c:pt>
                <c:pt idx="42">
                  <c:v>1/7/2025</c:v>
                </c:pt>
                <c:pt idx="43">
                  <c:v>1/8/2025</c:v>
                </c:pt>
                <c:pt idx="44">
                  <c:v>1/9/2025</c:v>
                </c:pt>
                <c:pt idx="45">
                  <c:v>1/10/2025</c:v>
                </c:pt>
                <c:pt idx="46">
                  <c:v>1/11/2025</c:v>
                </c:pt>
                <c:pt idx="47">
                  <c:v>1/12/2025</c:v>
                </c:pt>
              </c:strCache>
            </c:strRef>
          </c:cat>
          <c:val>
            <c:numRef>
              <c:f>'Churn Overall'!$J$4:$J$52</c:f>
              <c:numCache>
                <c:formatCode>0.00</c:formatCode>
                <c:ptCount val="48"/>
                <c:pt idx="0">
                  <c:v>5</c:v>
                </c:pt>
                <c:pt idx="1">
                  <c:v>10</c:v>
                </c:pt>
                <c:pt idx="2">
                  <c:v>13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8</c:v>
                </c:pt>
                <c:pt idx="7">
                  <c:v>18</c:v>
                </c:pt>
                <c:pt idx="8">
                  <c:v>13</c:v>
                </c:pt>
                <c:pt idx="9">
                  <c:v>16</c:v>
                </c:pt>
                <c:pt idx="10">
                  <c:v>14</c:v>
                </c:pt>
                <c:pt idx="11">
                  <c:v>14</c:v>
                </c:pt>
                <c:pt idx="12">
                  <c:v>12</c:v>
                </c:pt>
                <c:pt idx="13">
                  <c:v>10</c:v>
                </c:pt>
                <c:pt idx="14">
                  <c:v>5</c:v>
                </c:pt>
                <c:pt idx="15">
                  <c:v>14</c:v>
                </c:pt>
                <c:pt idx="16">
                  <c:v>13</c:v>
                </c:pt>
                <c:pt idx="17">
                  <c:v>15</c:v>
                </c:pt>
                <c:pt idx="18">
                  <c:v>19</c:v>
                </c:pt>
                <c:pt idx="19">
                  <c:v>10</c:v>
                </c:pt>
                <c:pt idx="20">
                  <c:v>17</c:v>
                </c:pt>
                <c:pt idx="21">
                  <c:v>16</c:v>
                </c:pt>
                <c:pt idx="22">
                  <c:v>11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19</c:v>
                </c:pt>
                <c:pt idx="27">
                  <c:v>11</c:v>
                </c:pt>
                <c:pt idx="28">
                  <c:v>14</c:v>
                </c:pt>
                <c:pt idx="29">
                  <c:v>13</c:v>
                </c:pt>
                <c:pt idx="30">
                  <c:v>14</c:v>
                </c:pt>
                <c:pt idx="31">
                  <c:v>12</c:v>
                </c:pt>
                <c:pt idx="32">
                  <c:v>11</c:v>
                </c:pt>
                <c:pt idx="33">
                  <c:v>13</c:v>
                </c:pt>
                <c:pt idx="34">
                  <c:v>12</c:v>
                </c:pt>
                <c:pt idx="35">
                  <c:v>15</c:v>
                </c:pt>
                <c:pt idx="36">
                  <c:v>13</c:v>
                </c:pt>
                <c:pt idx="37">
                  <c:v>15</c:v>
                </c:pt>
                <c:pt idx="38">
                  <c:v>18</c:v>
                </c:pt>
                <c:pt idx="39">
                  <c:v>13</c:v>
                </c:pt>
                <c:pt idx="40">
                  <c:v>12</c:v>
                </c:pt>
                <c:pt idx="41">
                  <c:v>15</c:v>
                </c:pt>
                <c:pt idx="42">
                  <c:v>9</c:v>
                </c:pt>
                <c:pt idx="43">
                  <c:v>7</c:v>
                </c:pt>
                <c:pt idx="44">
                  <c:v>13</c:v>
                </c:pt>
                <c:pt idx="45">
                  <c:v>18</c:v>
                </c:pt>
                <c:pt idx="46">
                  <c:v>11</c:v>
                </c:pt>
                <c:pt idx="4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4-4C38-88E1-D9CA28E36890}"/>
            </c:ext>
          </c:extLst>
        </c:ser>
        <c:ser>
          <c:idx val="3"/>
          <c:order val="3"/>
          <c:tx>
            <c:strRef>
              <c:f>'Churn Overall'!$K$3</c:f>
              <c:strCache>
                <c:ptCount val="1"/>
                <c:pt idx="0">
                  <c:v>Sum of new_customers2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'Churn Overall'!$G$4:$G$52</c:f>
              <c:strCache>
                <c:ptCount val="48"/>
                <c:pt idx="0">
                  <c:v>1/1/2022</c:v>
                </c:pt>
                <c:pt idx="1">
                  <c:v>1/2/2022</c:v>
                </c:pt>
                <c:pt idx="2">
                  <c:v>1/3/2022</c:v>
                </c:pt>
                <c:pt idx="3">
                  <c:v>1/4/2022</c:v>
                </c:pt>
                <c:pt idx="4">
                  <c:v>1/5/2022</c:v>
                </c:pt>
                <c:pt idx="5">
                  <c:v>1/6/2022</c:v>
                </c:pt>
                <c:pt idx="6">
                  <c:v>1/7/2022</c:v>
                </c:pt>
                <c:pt idx="7">
                  <c:v>1/8/2022</c:v>
                </c:pt>
                <c:pt idx="8">
                  <c:v>1/9/2022</c:v>
                </c:pt>
                <c:pt idx="9">
                  <c:v>1/10/2022</c:v>
                </c:pt>
                <c:pt idx="10">
                  <c:v>1/11/2022</c:v>
                </c:pt>
                <c:pt idx="11">
                  <c:v>1/12/2022</c:v>
                </c:pt>
                <c:pt idx="12">
                  <c:v>1/1/2023</c:v>
                </c:pt>
                <c:pt idx="13">
                  <c:v>1/2/2023</c:v>
                </c:pt>
                <c:pt idx="14">
                  <c:v>1/3/2023</c:v>
                </c:pt>
                <c:pt idx="15">
                  <c:v>1/4/2023</c:v>
                </c:pt>
                <c:pt idx="16">
                  <c:v>1/5/2023</c:v>
                </c:pt>
                <c:pt idx="17">
                  <c:v>1/6/2023</c:v>
                </c:pt>
                <c:pt idx="18">
                  <c:v>1/7/2023</c:v>
                </c:pt>
                <c:pt idx="19">
                  <c:v>1/8/2023</c:v>
                </c:pt>
                <c:pt idx="20">
                  <c:v>1/9/2023</c:v>
                </c:pt>
                <c:pt idx="21">
                  <c:v>1/10/2023</c:v>
                </c:pt>
                <c:pt idx="22">
                  <c:v>1/11/2023</c:v>
                </c:pt>
                <c:pt idx="23">
                  <c:v>1/12/2023</c:v>
                </c:pt>
                <c:pt idx="24">
                  <c:v>1/1/2024</c:v>
                </c:pt>
                <c:pt idx="25">
                  <c:v>1/2/2024</c:v>
                </c:pt>
                <c:pt idx="26">
                  <c:v>1/3/2024</c:v>
                </c:pt>
                <c:pt idx="27">
                  <c:v>1/4/2024</c:v>
                </c:pt>
                <c:pt idx="28">
                  <c:v>1/5/2024</c:v>
                </c:pt>
                <c:pt idx="29">
                  <c:v>1/6/2024</c:v>
                </c:pt>
                <c:pt idx="30">
                  <c:v>1/7/2024</c:v>
                </c:pt>
                <c:pt idx="31">
                  <c:v>1/8/2024</c:v>
                </c:pt>
                <c:pt idx="32">
                  <c:v>1/9/2024</c:v>
                </c:pt>
                <c:pt idx="33">
                  <c:v>1/10/2024</c:v>
                </c:pt>
                <c:pt idx="34">
                  <c:v>1/11/2024</c:v>
                </c:pt>
                <c:pt idx="35">
                  <c:v>1/12/2024</c:v>
                </c:pt>
                <c:pt idx="36">
                  <c:v>1/1/2025</c:v>
                </c:pt>
                <c:pt idx="37">
                  <c:v>1/2/2025</c:v>
                </c:pt>
                <c:pt idx="38">
                  <c:v>1/3/2025</c:v>
                </c:pt>
                <c:pt idx="39">
                  <c:v>1/4/2025</c:v>
                </c:pt>
                <c:pt idx="40">
                  <c:v>1/5/2025</c:v>
                </c:pt>
                <c:pt idx="41">
                  <c:v>1/6/2025</c:v>
                </c:pt>
                <c:pt idx="42">
                  <c:v>1/7/2025</c:v>
                </c:pt>
                <c:pt idx="43">
                  <c:v>1/8/2025</c:v>
                </c:pt>
                <c:pt idx="44">
                  <c:v>1/9/2025</c:v>
                </c:pt>
                <c:pt idx="45">
                  <c:v>1/10/2025</c:v>
                </c:pt>
                <c:pt idx="46">
                  <c:v>1/11/2025</c:v>
                </c:pt>
                <c:pt idx="47">
                  <c:v>1/12/2025</c:v>
                </c:pt>
              </c:strCache>
            </c:strRef>
          </c:cat>
          <c:val>
            <c:numRef>
              <c:f>'Churn Overall'!$K$4:$K$52</c:f>
              <c:numCache>
                <c:formatCode>0.00%</c:formatCode>
                <c:ptCount val="48"/>
                <c:pt idx="1">
                  <c:v>1</c:v>
                </c:pt>
                <c:pt idx="2">
                  <c:v>0.3</c:v>
                </c:pt>
                <c:pt idx="3">
                  <c:v>-0.15384615384615385</c:v>
                </c:pt>
                <c:pt idx="4">
                  <c:v>0</c:v>
                </c:pt>
                <c:pt idx="5">
                  <c:v>-9.0909090909090912E-2</c:v>
                </c:pt>
                <c:pt idx="6">
                  <c:v>-0.2</c:v>
                </c:pt>
                <c:pt idx="7">
                  <c:v>1.25</c:v>
                </c:pt>
                <c:pt idx="8">
                  <c:v>-0.27777777777777779</c:v>
                </c:pt>
                <c:pt idx="9">
                  <c:v>0.23076923076923078</c:v>
                </c:pt>
                <c:pt idx="10">
                  <c:v>-0.125</c:v>
                </c:pt>
                <c:pt idx="11">
                  <c:v>0</c:v>
                </c:pt>
                <c:pt idx="12">
                  <c:v>-0.14285714285714285</c:v>
                </c:pt>
                <c:pt idx="13">
                  <c:v>-0.16666666666666666</c:v>
                </c:pt>
                <c:pt idx="14">
                  <c:v>-0.5</c:v>
                </c:pt>
                <c:pt idx="15">
                  <c:v>1.8</c:v>
                </c:pt>
                <c:pt idx="16">
                  <c:v>-7.1428571428571425E-2</c:v>
                </c:pt>
                <c:pt idx="17">
                  <c:v>0.15384615384615385</c:v>
                </c:pt>
                <c:pt idx="18">
                  <c:v>0.26666666666666666</c:v>
                </c:pt>
                <c:pt idx="19">
                  <c:v>-0.47368421052631576</c:v>
                </c:pt>
                <c:pt idx="20">
                  <c:v>0.7</c:v>
                </c:pt>
                <c:pt idx="21">
                  <c:v>-5.8823529411764705E-2</c:v>
                </c:pt>
                <c:pt idx="22">
                  <c:v>-0.3125</c:v>
                </c:pt>
                <c:pt idx="23">
                  <c:v>-0.18181818181818182</c:v>
                </c:pt>
                <c:pt idx="24">
                  <c:v>0.1111111111111111</c:v>
                </c:pt>
                <c:pt idx="25">
                  <c:v>-0.3</c:v>
                </c:pt>
                <c:pt idx="26">
                  <c:v>1.7142857142857142</c:v>
                </c:pt>
                <c:pt idx="27">
                  <c:v>-0.42105263157894735</c:v>
                </c:pt>
                <c:pt idx="28">
                  <c:v>0.27272727272727271</c:v>
                </c:pt>
                <c:pt idx="29">
                  <c:v>-7.1428571428571425E-2</c:v>
                </c:pt>
                <c:pt idx="30">
                  <c:v>7.6923076923076927E-2</c:v>
                </c:pt>
                <c:pt idx="31">
                  <c:v>-0.14285714285714285</c:v>
                </c:pt>
                <c:pt idx="32">
                  <c:v>-8.3333333333333329E-2</c:v>
                </c:pt>
                <c:pt idx="33">
                  <c:v>0.18181818181818182</c:v>
                </c:pt>
                <c:pt idx="34">
                  <c:v>-7.6923076923076927E-2</c:v>
                </c:pt>
                <c:pt idx="35">
                  <c:v>0.25</c:v>
                </c:pt>
                <c:pt idx="36">
                  <c:v>-0.13333333333333333</c:v>
                </c:pt>
                <c:pt idx="37">
                  <c:v>0.15384615384615385</c:v>
                </c:pt>
                <c:pt idx="38">
                  <c:v>0.2</c:v>
                </c:pt>
                <c:pt idx="39">
                  <c:v>-0.27777777777777779</c:v>
                </c:pt>
                <c:pt idx="40">
                  <c:v>-7.6923076923076927E-2</c:v>
                </c:pt>
                <c:pt idx="41">
                  <c:v>0.25</c:v>
                </c:pt>
                <c:pt idx="42">
                  <c:v>-0.4</c:v>
                </c:pt>
                <c:pt idx="43">
                  <c:v>-0.22222222222222221</c:v>
                </c:pt>
                <c:pt idx="44">
                  <c:v>0.8571428571428571</c:v>
                </c:pt>
                <c:pt idx="45">
                  <c:v>0.38461538461538464</c:v>
                </c:pt>
                <c:pt idx="46">
                  <c:v>-0.3888888888888889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64-4C38-88E1-D9CA28E36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7587871"/>
        <c:axId val="1147604671"/>
      </c:lineChart>
      <c:catAx>
        <c:axId val="114758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04671"/>
        <c:crosses val="autoZero"/>
        <c:auto val="1"/>
        <c:lblAlgn val="ctr"/>
        <c:lblOffset val="100"/>
        <c:noMultiLvlLbl val="0"/>
      </c:catAx>
      <c:valAx>
        <c:axId val="114760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58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'Churn Rate monthly'!$D$3</c:f>
              <c:strCache>
                <c:ptCount val="1"/>
                <c:pt idx="0">
                  <c:v>new customer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'Churn Rate monthly'!$B$4:$B$51</c:f>
              <c:numCache>
                <c:formatCode>m/d/yyyy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'Churn Rate monthly'!$D$4:$D$51</c:f>
              <c:numCache>
                <c:formatCode>General</c:formatCode>
                <c:ptCount val="48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5</c:v>
                </c:pt>
                <c:pt idx="4">
                  <c:v>9</c:v>
                </c:pt>
                <c:pt idx="5">
                  <c:v>7</c:v>
                </c:pt>
                <c:pt idx="6">
                  <c:v>3</c:v>
                </c:pt>
                <c:pt idx="7">
                  <c:v>11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2</c:v>
                </c:pt>
                <c:pt idx="15">
                  <c:v>12</c:v>
                </c:pt>
                <c:pt idx="16">
                  <c:v>7</c:v>
                </c:pt>
                <c:pt idx="17">
                  <c:v>11</c:v>
                </c:pt>
                <c:pt idx="18">
                  <c:v>13</c:v>
                </c:pt>
                <c:pt idx="19">
                  <c:v>5</c:v>
                </c:pt>
                <c:pt idx="20">
                  <c:v>10</c:v>
                </c:pt>
                <c:pt idx="21">
                  <c:v>10</c:v>
                </c:pt>
                <c:pt idx="22">
                  <c:v>6</c:v>
                </c:pt>
                <c:pt idx="23">
                  <c:v>3</c:v>
                </c:pt>
                <c:pt idx="24">
                  <c:v>5</c:v>
                </c:pt>
                <c:pt idx="25">
                  <c:v>6</c:v>
                </c:pt>
                <c:pt idx="26">
                  <c:v>11</c:v>
                </c:pt>
                <c:pt idx="27">
                  <c:v>7</c:v>
                </c:pt>
                <c:pt idx="28">
                  <c:v>3</c:v>
                </c:pt>
                <c:pt idx="29">
                  <c:v>5</c:v>
                </c:pt>
                <c:pt idx="30">
                  <c:v>8</c:v>
                </c:pt>
                <c:pt idx="31">
                  <c:v>5</c:v>
                </c:pt>
                <c:pt idx="32">
                  <c:v>7</c:v>
                </c:pt>
                <c:pt idx="33">
                  <c:v>5</c:v>
                </c:pt>
                <c:pt idx="34">
                  <c:v>9</c:v>
                </c:pt>
                <c:pt idx="35">
                  <c:v>10</c:v>
                </c:pt>
                <c:pt idx="36">
                  <c:v>8</c:v>
                </c:pt>
                <c:pt idx="37">
                  <c:v>8</c:v>
                </c:pt>
                <c:pt idx="38">
                  <c:v>15</c:v>
                </c:pt>
                <c:pt idx="39">
                  <c:v>10</c:v>
                </c:pt>
                <c:pt idx="40">
                  <c:v>7</c:v>
                </c:pt>
                <c:pt idx="41">
                  <c:v>10</c:v>
                </c:pt>
                <c:pt idx="42">
                  <c:v>6</c:v>
                </c:pt>
                <c:pt idx="43">
                  <c:v>3</c:v>
                </c:pt>
                <c:pt idx="44">
                  <c:v>9</c:v>
                </c:pt>
                <c:pt idx="45">
                  <c:v>11</c:v>
                </c:pt>
                <c:pt idx="46">
                  <c:v>4</c:v>
                </c:pt>
                <c:pt idx="4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B-4C6E-B235-BFC6D5AA43B5}"/>
            </c:ext>
          </c:extLst>
        </c:ser>
        <c:ser>
          <c:idx val="1"/>
          <c:order val="1"/>
          <c:tx>
            <c:strRef>
              <c:f>'Churn Rate monthly'!$E$3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'Churn Rate monthly'!$E$4:$E$51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7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3</c:v>
                </c:pt>
                <c:pt idx="25">
                  <c:v>6</c:v>
                </c:pt>
                <c:pt idx="26">
                  <c:v>4</c:v>
                </c:pt>
                <c:pt idx="27">
                  <c:v>7</c:v>
                </c:pt>
                <c:pt idx="28">
                  <c:v>6</c:v>
                </c:pt>
                <c:pt idx="29">
                  <c:v>5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7</c:v>
                </c:pt>
                <c:pt idx="37">
                  <c:v>4</c:v>
                </c:pt>
                <c:pt idx="38">
                  <c:v>5</c:v>
                </c:pt>
                <c:pt idx="39">
                  <c:v>13</c:v>
                </c:pt>
                <c:pt idx="40">
                  <c:v>11</c:v>
                </c:pt>
                <c:pt idx="41">
                  <c:v>7</c:v>
                </c:pt>
                <c:pt idx="42">
                  <c:v>8</c:v>
                </c:pt>
                <c:pt idx="43">
                  <c:v>5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DB-4C6E-B235-BFC6D5AA4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44736"/>
        <c:axId val="107941856"/>
      </c:lineChart>
      <c:dateAx>
        <c:axId val="10794473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41856"/>
        <c:crosses val="autoZero"/>
        <c:auto val="1"/>
        <c:lblOffset val="100"/>
        <c:baseTimeUnit val="months"/>
      </c:dateAx>
      <c:valAx>
        <c:axId val="1079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4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10</xdr:row>
      <xdr:rowOff>171450</xdr:rowOff>
    </xdr:from>
    <xdr:to>
      <xdr:col>5</xdr:col>
      <xdr:colOff>129540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A41D57-D308-8D3E-906B-77CA0580C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175260</xdr:colOff>
      <xdr:row>7</xdr:row>
      <xdr:rowOff>49530</xdr:rowOff>
    </xdr:from>
    <xdr:to>
      <xdr:col>19</xdr:col>
      <xdr:colOff>297180</xdr:colOff>
      <xdr:row>22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B1544-3898-6918-328A-FFAA2B7B9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irolfahmi" refreshedDate="46194.412475810183" createdVersion="8" refreshedVersion="8" minRefreshableVersion="3" recordCount="600" xr:uid="{8ACAA30C-A23C-471A-8245-B77A6431470A}">
  <cacheSource type="worksheet">
    <worksheetSource name="subscriptions"/>
  </cacheSource>
  <cacheFields count="23">
    <cacheField name="customer_id" numFmtId="0">
      <sharedItems/>
    </cacheField>
    <cacheField name="plan" numFmtId="0">
      <sharedItems count="4">
        <s v="Professional"/>
        <s v="Starter"/>
        <s v="Business"/>
        <s v="Enterprise"/>
      </sharedItems>
    </cacheField>
    <cacheField name="billing_cycle" numFmtId="0">
      <sharedItems count="2">
        <s v="Monthly"/>
        <s v="Annual"/>
      </sharedItems>
    </cacheField>
    <cacheField name="industry" numFmtId="0">
      <sharedItems count="10">
        <s v="Retail"/>
        <s v="Finance"/>
        <s v="Real Estate"/>
        <s v="Manufacturing"/>
        <s v="Technology"/>
        <s v="Media"/>
        <s v="Healthcare"/>
        <s v="Education"/>
        <s v="Legal"/>
        <s v="Consulting"/>
      </sharedItems>
    </cacheField>
    <cacheField name="company_size" numFmtId="0">
      <sharedItems count="5">
        <s v="51-200"/>
        <s v="500+"/>
        <s v="11-50"/>
        <s v="1-10"/>
        <s v="201-500"/>
      </sharedItems>
    </cacheField>
    <cacheField name="seats" numFmtId="0">
      <sharedItems containsSemiMixedTypes="0" containsString="0" containsNumber="1" containsInteger="1" minValue="1" maxValue="297"/>
    </cacheField>
    <cacheField name="monthly_revenue" numFmtId="0">
      <sharedItems containsSemiMixedTypes="0" containsString="0" containsNumber="1" minValue="24.65" maxValue="10978"/>
    </cacheField>
    <cacheField name="acquisition_channel" numFmtId="0">
      <sharedItems count="6">
        <s v="Organic Search"/>
        <s v="Direct Sales"/>
        <s v="Partner"/>
        <s v="Referral"/>
        <s v="Paid Ads"/>
        <s v="Social Media"/>
      </sharedItems>
    </cacheField>
    <cacheField name="region" numFmtId="0">
      <sharedItems count="4">
        <s v="North America"/>
        <s v="Europe"/>
        <s v="Asia Pacific"/>
        <s v="Latin America"/>
      </sharedItems>
    </cacheField>
    <cacheField name="signup_date" numFmtId="14">
      <sharedItems containsSemiMixedTypes="0" containsNonDate="0" containsDate="1" containsString="0" minDate="2022-01-06T00:00:00" maxDate="2026-01-01T00:00:00"/>
    </cacheField>
    <cacheField name="signup_month" numFmtId="14">
      <sharedItems containsSemiMixedTypes="0" containsNonDate="0" containsDate="1" containsString="0" minDate="2022-01-01T00:00:00" maxDate="2025-12-02T00:00:00" count="48">
        <d v="2022-06-01T00:00:00"/>
        <d v="2023-03-01T00:00:00"/>
        <d v="2024-10-01T00:00:00"/>
        <d v="2023-01-01T00:00:00"/>
        <d v="2025-09-01T00:00:00"/>
        <d v="2023-09-01T00:00:00"/>
        <d v="2024-03-01T00:00:00"/>
        <d v="2025-04-01T00:00:00"/>
        <d v="2022-12-01T00:00:00"/>
        <d v="2023-11-01T00:00:00"/>
        <d v="2024-07-01T00:00:00"/>
        <d v="2022-05-01T00:00:00"/>
        <d v="2024-01-01T00:00:00"/>
        <d v="2024-12-01T00:00:00"/>
        <d v="2023-06-01T00:00:00"/>
        <d v="2023-08-01T00:00:00"/>
        <d v="2022-07-01T00:00:00"/>
        <d v="2024-02-01T00:00:00"/>
        <d v="2025-05-01T00:00:00"/>
        <d v="2024-06-01T00:00:00"/>
        <d v="2025-07-01T00:00:00"/>
        <d v="2025-12-01T00:00:00"/>
        <d v="2024-05-01T00:00:00"/>
        <d v="2023-04-01T00:00:00"/>
        <d v="2023-05-01T00:00:00"/>
        <d v="2025-01-01T00:00:00"/>
        <d v="2022-02-01T00:00:00"/>
        <d v="2022-04-01T00:00:00"/>
        <d v="2023-07-01T00:00:00"/>
        <d v="2025-03-01T00:00:00"/>
        <d v="2022-09-01T00:00:00"/>
        <d v="2023-12-01T00:00:00"/>
        <d v="2022-03-01T00:00:00"/>
        <d v="2022-10-01T00:00:00"/>
        <d v="2025-08-01T00:00:00"/>
        <d v="2022-11-01T00:00:00"/>
        <d v="2022-08-01T00:00:00"/>
        <d v="2022-01-01T00:00:00"/>
        <d v="2023-02-01T00:00:00"/>
        <d v="2025-10-01T00:00:00"/>
        <d v="2023-10-01T00:00:00"/>
        <d v="2025-11-01T00:00:00"/>
        <d v="2024-04-01T00:00:00"/>
        <d v="2024-11-01T00:00:00"/>
        <d v="2024-08-01T00:00:00"/>
        <d v="2025-02-01T00:00:00"/>
        <d v="2024-09-01T00:00:00"/>
        <d v="2025-06-01T00:00:00"/>
      </sharedItems>
      <fieldGroup par="22"/>
    </cacheField>
    <cacheField name="churned" numFmtId="0">
      <sharedItems count="2">
        <s v="Yes"/>
        <s v="No"/>
      </sharedItems>
    </cacheField>
    <cacheField name="churn_date" numFmtId="14">
      <sharedItems containsNonDate="0" containsDate="1" containsString="0" containsBlank="1" minDate="2022-02-14T00:00:00" maxDate="2025-12-20T00:00:00"/>
    </cacheField>
    <cacheField name="churn_month" numFmtId="14">
      <sharedItems containsDate="1" containsMixedTypes="1" minDate="2022-02-01T00:00:00" maxDate="2025-12-02T00:00:00" count="47">
        <d v="2024-03-01T00:00:00"/>
        <s v=""/>
        <d v="2025-04-01T00:00:00"/>
        <d v="2025-06-01T00:00:00"/>
        <d v="2023-04-01T00:00:00"/>
        <d v="2023-12-01T00:00:00"/>
        <d v="2023-06-01T00:00:00"/>
        <d v="2022-09-01T00:00:00"/>
        <d v="2024-05-01T00:00:00"/>
        <d v="2023-01-01T00:00:00"/>
        <d v="2024-12-01T00:00:00"/>
        <d v="2023-08-01T00:00:00"/>
        <d v="2024-04-01T00:00:00"/>
        <d v="2024-07-01T00:00:00"/>
        <d v="2022-07-01T00:00:00"/>
        <d v="2024-11-01T00:00:00"/>
        <d v="2022-08-01T00:00:00"/>
        <d v="2023-05-01T00:00:00"/>
        <d v="2024-02-01T00:00:00"/>
        <d v="2024-06-01T00:00:00"/>
        <d v="2025-07-01T00:00:00"/>
        <d v="2024-09-01T00:00:00"/>
        <d v="2025-11-01T00:00:00"/>
        <d v="2025-08-01T00:00:00"/>
        <d v="2023-03-01T00:00:00"/>
        <d v="2024-10-01T00:00:00"/>
        <d v="2022-11-01T00:00:00"/>
        <d v="2025-09-01T00:00:00"/>
        <d v="2024-01-01T00:00:00"/>
        <d v="2025-03-01T00:00:00"/>
        <d v="2025-05-01T00:00:00"/>
        <d v="2023-10-01T00:00:00"/>
        <d v="2025-02-01T00:00:00"/>
        <d v="2023-09-01T00:00:00"/>
        <d v="2025-12-01T00:00:00"/>
        <d v="2025-01-01T00:00:00"/>
        <d v="2023-11-01T00:00:00"/>
        <d v="2022-05-01T00:00:00"/>
        <d v="2022-06-01T00:00:00"/>
        <d v="2023-07-01T00:00:00"/>
        <d v="2024-08-01T00:00:00"/>
        <d v="2025-10-01T00:00:00"/>
        <d v="2022-04-01T00:00:00"/>
        <d v="2022-10-01T00:00:00"/>
        <d v="2023-02-01T00:00:00"/>
        <d v="2022-12-01T00:00:00"/>
        <d v="2022-02-01T00:00:00"/>
      </sharedItems>
    </cacheField>
    <cacheField name="churn_reason" numFmtId="0">
      <sharedItems count="8">
        <s v="Price Too High"/>
        <s v=""/>
        <s v="Poor Support"/>
        <s v="Switched Competitor"/>
        <s v="Budget Cuts"/>
        <s v="Company Closed"/>
        <s v="No Longer Needed"/>
        <s v="Missing Features"/>
      </sharedItems>
    </cacheField>
    <cacheField name="support_tickets_12mo" numFmtId="0">
      <sharedItems containsSemiMixedTypes="0" containsString="0" containsNumber="1" containsInteger="1" minValue="0" maxValue="15"/>
    </cacheField>
    <cacheField name="nps_score" numFmtId="0">
      <sharedItems containsSemiMixedTypes="0" containsString="0" containsNumber="1" containsInteger="1" minValue="1" maxValue="10" count="10">
        <n v="3"/>
        <n v="4"/>
        <n v="7"/>
        <n v="2"/>
        <n v="6"/>
        <n v="1"/>
        <n v="9"/>
        <n v="8"/>
        <n v="5"/>
        <n v="10"/>
      </sharedItems>
    </cacheField>
    <cacheField name="feature_usage_pct" numFmtId="0">
      <sharedItems containsSemiMixedTypes="0" containsString="0" containsNumber="1" containsInteger="1" minValue="10" maxValue="95"/>
    </cacheField>
    <cacheField name="usage_feature" numFmtId="0">
      <sharedItems count="4">
        <s v="Very Low Usage"/>
        <s v="High Usage"/>
        <s v="Moderate Usage"/>
        <s v="Very High Usage"/>
      </sharedItems>
    </cacheField>
    <cacheField name="upgraded" numFmtId="0">
      <sharedItems/>
    </cacheField>
    <cacheField name="Months (signup_month)" numFmtId="0" databaseField="0">
      <fieldGroup base="10">
        <rangePr groupBy="months" startDate="2022-01-01T00:00:00" endDate="2025-12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2/2025"/>
        </groupItems>
      </fieldGroup>
    </cacheField>
    <cacheField name="Quarters (signup_month)" numFmtId="0" databaseField="0">
      <fieldGroup base="10">
        <rangePr groupBy="quarters" startDate="2022-01-01T00:00:00" endDate="2025-12-02T00:00:00"/>
        <groupItems count="6">
          <s v="&lt;1/1/2022"/>
          <s v="Qtr1"/>
          <s v="Qtr2"/>
          <s v="Qtr3"/>
          <s v="Qtr4"/>
          <s v="&gt;2/12/2025"/>
        </groupItems>
      </fieldGroup>
    </cacheField>
    <cacheField name="Years (signup_month)" numFmtId="0" databaseField="0">
      <fieldGroup base="10">
        <rangePr groupBy="years" startDate="2022-01-01T00:00:00" endDate="2025-12-02T00:00:00"/>
        <groupItems count="6">
          <s v="&lt;1/1/2022"/>
          <s v="2022"/>
          <s v="2023"/>
          <s v="2024"/>
          <s v="2025"/>
          <s v="&gt;2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irolfahmi" refreshedDate="46205.898940277781" createdVersion="8" refreshedVersion="8" minRefreshableVersion="3" recordCount="48" xr:uid="{5F1F4D8D-83E6-45DF-B281-977E70A932B5}">
  <cacheSource type="worksheet">
    <worksheetSource name="monthly_revenue"/>
  </cacheSource>
  <cacheFields count="15">
    <cacheField name="month" numFmtId="14">
      <sharedItems containsSemiMixedTypes="0" containsNonDate="0" containsDate="1" containsString="0" minDate="2022-01-01T00:00:00" maxDate="2025-12-02T00:00:00" count="48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13"/>
    </cacheField>
    <cacheField name="total_active_customers" numFmtId="0">
      <sharedItems containsSemiMixedTypes="0" containsString="0" containsNumber="1" containsInteger="1" minValue="0" maxValue="281"/>
    </cacheField>
    <cacheField name="new_customers" numFmtId="0">
      <sharedItems containsSemiMixedTypes="0" containsString="0" containsNumber="1" containsInteger="1" minValue="5" maxValue="19"/>
    </cacheField>
    <cacheField name="churned_customers" numFmtId="0">
      <sharedItems containsSemiMixedTypes="0" containsString="0" containsNumber="1" containsInteger="1" minValue="0" maxValue="17"/>
    </cacheField>
    <cacheField name="monthly_churn_rate_pct" numFmtId="0">
      <sharedItems containsSemiMixedTypes="0" containsString="0" containsNumber="1" minValue="0" maxValue="20"/>
    </cacheField>
    <cacheField name="montlhy_churn_rate_num" numFmtId="0">
      <sharedItems containsSemiMixedTypes="0" containsString="0" containsNumber="1" minValue="0" maxValue="0.2"/>
    </cacheField>
    <cacheField name="total_mrr" numFmtId="0">
      <sharedItems containsSemiMixedTypes="0" containsString="0" containsNumber="1" minValue="0" maxValue="292628.61"/>
    </cacheField>
    <cacheField name="avg_revenue_per_customer" numFmtId="0">
      <sharedItems containsSemiMixedTypes="0" containsString="0" containsNumber="1" minValue="0" maxValue="1466.61"/>
    </cacheField>
    <cacheField name="customer_acquisition_cost" numFmtId="0">
      <sharedItems containsSemiMixedTypes="0" containsString="0" containsNumber="1" minValue="122.99" maxValue="279.58999999999997"/>
    </cacheField>
    <cacheField name="new mrr" numFmtId="0">
      <sharedItems containsSemiMixedTypes="0" containsString="0" containsNumber="1" minValue="0" maxValue="19232.37"/>
    </cacheField>
    <cacheField name="churned mrr" numFmtId="0">
      <sharedItems containsSemiMixedTypes="0" containsString="0" containsNumber="1" minValue="0" maxValue="18120.13"/>
    </cacheField>
    <cacheField name="Months (month)" numFmtId="0" databaseField="0">
      <fieldGroup base="0">
        <rangePr groupBy="months" startDate="2022-01-01T00:00:00" endDate="2025-12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2/2025"/>
        </groupItems>
      </fieldGroup>
    </cacheField>
    <cacheField name="Quarters (month)" numFmtId="0" databaseField="0">
      <fieldGroup base="0">
        <rangePr groupBy="quarters" startDate="2022-01-01T00:00:00" endDate="2025-12-02T00:00:00"/>
        <groupItems count="6">
          <s v="&lt;1/1/2022"/>
          <s v="Qtr1"/>
          <s v="Qtr2"/>
          <s v="Qtr3"/>
          <s v="Qtr4"/>
          <s v="&gt;2/12/2025"/>
        </groupItems>
      </fieldGroup>
    </cacheField>
    <cacheField name="Years (month)" numFmtId="0" databaseField="0">
      <fieldGroup base="0">
        <rangePr groupBy="years" startDate="2022-01-01T00:00:00" endDate="2025-12-02T00:00:00"/>
        <groupItems count="6">
          <s v="&lt;1/1/2022"/>
          <s v="2022"/>
          <s v="2023"/>
          <s v="2024"/>
          <s v="2025"/>
          <s v="&gt;2/12/2025"/>
        </groupItems>
      </fieldGroup>
    </cacheField>
    <cacheField name="Different" numFmtId="0" formula="'new mrr'-'churned mr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CUST-0001"/>
    <x v="0"/>
    <x v="0"/>
    <x v="0"/>
    <x v="0"/>
    <n v="64"/>
    <n v="825.55"/>
    <x v="0"/>
    <x v="0"/>
    <d v="2022-06-27T00:00:00"/>
    <x v="0"/>
    <x v="0"/>
    <d v="2024-03-05T00:00:00"/>
    <x v="0"/>
    <x v="0"/>
    <n v="13"/>
    <x v="0"/>
    <n v="15"/>
    <x v="0"/>
    <s v="No"/>
  </r>
  <r>
    <s v="CUST-0002"/>
    <x v="0"/>
    <x v="1"/>
    <x v="0"/>
    <x v="0"/>
    <n v="35"/>
    <n v="409.62"/>
    <x v="1"/>
    <x v="0"/>
    <d v="2023-03-19T00:00:00"/>
    <x v="1"/>
    <x v="1"/>
    <m/>
    <x v="1"/>
    <x v="1"/>
    <n v="1"/>
    <x v="0"/>
    <n v="52"/>
    <x v="1"/>
    <s v="Yes"/>
  </r>
  <r>
    <s v="CUST-0003"/>
    <x v="1"/>
    <x v="1"/>
    <x v="1"/>
    <x v="1"/>
    <n v="266"/>
    <n v="1004.49"/>
    <x v="2"/>
    <x v="0"/>
    <d v="2024-10-19T00:00:00"/>
    <x v="2"/>
    <x v="0"/>
    <d v="2025-04-13T00:00:00"/>
    <x v="2"/>
    <x v="0"/>
    <n v="10"/>
    <x v="1"/>
    <n v="31"/>
    <x v="2"/>
    <s v="No"/>
  </r>
  <r>
    <s v="CUST-0004"/>
    <x v="2"/>
    <x v="1"/>
    <x v="2"/>
    <x v="2"/>
    <n v="34"/>
    <n v="1006.44"/>
    <x v="2"/>
    <x v="1"/>
    <d v="2023-01-07T00:00:00"/>
    <x v="3"/>
    <x v="1"/>
    <m/>
    <x v="1"/>
    <x v="1"/>
    <n v="3"/>
    <x v="2"/>
    <n v="58"/>
    <x v="1"/>
    <s v="No"/>
  </r>
  <r>
    <s v="CUST-0005"/>
    <x v="1"/>
    <x v="1"/>
    <x v="3"/>
    <x v="0"/>
    <n v="48"/>
    <n v="198.43"/>
    <x v="1"/>
    <x v="0"/>
    <d v="2025-09-23T00:00:00"/>
    <x v="4"/>
    <x v="1"/>
    <m/>
    <x v="1"/>
    <x v="1"/>
    <n v="3"/>
    <x v="2"/>
    <n v="59"/>
    <x v="1"/>
    <s v="No"/>
  </r>
  <r>
    <s v="CUST-0006"/>
    <x v="2"/>
    <x v="1"/>
    <x v="4"/>
    <x v="3"/>
    <n v="3"/>
    <n v="219.9"/>
    <x v="3"/>
    <x v="0"/>
    <d v="2023-09-28T00:00:00"/>
    <x v="5"/>
    <x v="1"/>
    <m/>
    <x v="1"/>
    <x v="1"/>
    <n v="12"/>
    <x v="0"/>
    <n v="48"/>
    <x v="2"/>
    <s v="No"/>
  </r>
  <r>
    <s v="CUST-0007"/>
    <x v="1"/>
    <x v="0"/>
    <x v="1"/>
    <x v="4"/>
    <n v="121"/>
    <n v="551"/>
    <x v="2"/>
    <x v="1"/>
    <d v="2024-03-07T00:00:00"/>
    <x v="6"/>
    <x v="0"/>
    <d v="2025-04-08T00:00:00"/>
    <x v="2"/>
    <x v="2"/>
    <n v="0"/>
    <x v="3"/>
    <n v="14"/>
    <x v="0"/>
    <s v="No"/>
  </r>
  <r>
    <s v="CUST-0008"/>
    <x v="1"/>
    <x v="0"/>
    <x v="4"/>
    <x v="0"/>
    <n v="48"/>
    <n v="233.45"/>
    <x v="3"/>
    <x v="1"/>
    <d v="2025-04-08T00:00:00"/>
    <x v="7"/>
    <x v="0"/>
    <d v="2025-06-08T00:00:00"/>
    <x v="3"/>
    <x v="0"/>
    <n v="10"/>
    <x v="3"/>
    <n v="28"/>
    <x v="2"/>
    <s v="No"/>
  </r>
  <r>
    <s v="CUST-0009"/>
    <x v="1"/>
    <x v="0"/>
    <x v="5"/>
    <x v="3"/>
    <n v="3"/>
    <n v="37.700000000000003"/>
    <x v="2"/>
    <x v="0"/>
    <d v="2023-01-22T00:00:00"/>
    <x v="3"/>
    <x v="0"/>
    <d v="2023-04-21T00:00:00"/>
    <x v="4"/>
    <x v="3"/>
    <n v="5"/>
    <x v="4"/>
    <n v="15"/>
    <x v="0"/>
    <s v="No"/>
  </r>
  <r>
    <s v="CUST-0010"/>
    <x v="2"/>
    <x v="0"/>
    <x v="6"/>
    <x v="0"/>
    <n v="80"/>
    <n v="2557.15"/>
    <x v="2"/>
    <x v="0"/>
    <d v="2022-06-27T00:00:00"/>
    <x v="0"/>
    <x v="0"/>
    <d v="2023-12-01T00:00:00"/>
    <x v="5"/>
    <x v="4"/>
    <n v="3"/>
    <x v="1"/>
    <n v="48"/>
    <x v="2"/>
    <s v="No"/>
  </r>
  <r>
    <s v="CUST-0011"/>
    <x v="2"/>
    <x v="1"/>
    <x v="6"/>
    <x v="4"/>
    <n v="77"/>
    <n v="2097.46"/>
    <x v="0"/>
    <x v="2"/>
    <d v="2022-12-07T00:00:00"/>
    <x v="8"/>
    <x v="0"/>
    <d v="2023-06-14T00:00:00"/>
    <x v="6"/>
    <x v="5"/>
    <n v="9"/>
    <x v="5"/>
    <n v="37"/>
    <x v="2"/>
    <s v="No"/>
  </r>
  <r>
    <s v="CUST-0012"/>
    <x v="2"/>
    <x v="1"/>
    <x v="4"/>
    <x v="2"/>
    <n v="30"/>
    <n v="904.95"/>
    <x v="3"/>
    <x v="0"/>
    <d v="2023-11-17T00:00:00"/>
    <x v="9"/>
    <x v="1"/>
    <m/>
    <x v="1"/>
    <x v="1"/>
    <n v="4"/>
    <x v="5"/>
    <n v="47"/>
    <x v="2"/>
    <s v="Yes"/>
  </r>
  <r>
    <s v="CUST-0013"/>
    <x v="2"/>
    <x v="0"/>
    <x v="1"/>
    <x v="3"/>
    <n v="4"/>
    <n v="288.55"/>
    <x v="3"/>
    <x v="1"/>
    <d v="2024-07-02T00:00:00"/>
    <x v="10"/>
    <x v="1"/>
    <m/>
    <x v="1"/>
    <x v="1"/>
    <n v="10"/>
    <x v="6"/>
    <n v="84"/>
    <x v="3"/>
    <s v="Yes"/>
  </r>
  <r>
    <s v="CUST-0014"/>
    <x v="1"/>
    <x v="0"/>
    <x v="0"/>
    <x v="0"/>
    <n v="56"/>
    <n v="268.25"/>
    <x v="4"/>
    <x v="1"/>
    <d v="2022-05-29T00:00:00"/>
    <x v="11"/>
    <x v="0"/>
    <d v="2022-09-27T00:00:00"/>
    <x v="7"/>
    <x v="2"/>
    <n v="1"/>
    <x v="3"/>
    <n v="21"/>
    <x v="2"/>
    <s v="No"/>
  </r>
  <r>
    <s v="CUST-0015"/>
    <x v="1"/>
    <x v="0"/>
    <x v="7"/>
    <x v="3"/>
    <n v="6"/>
    <n v="50.75"/>
    <x v="3"/>
    <x v="0"/>
    <d v="2024-01-17T00:00:00"/>
    <x v="12"/>
    <x v="0"/>
    <d v="2024-05-16T00:00:00"/>
    <x v="8"/>
    <x v="6"/>
    <n v="7"/>
    <x v="0"/>
    <n v="25"/>
    <x v="2"/>
    <s v="No"/>
  </r>
  <r>
    <s v="CUST-0016"/>
    <x v="1"/>
    <x v="0"/>
    <x v="3"/>
    <x v="4"/>
    <n v="52"/>
    <n v="250.85"/>
    <x v="0"/>
    <x v="0"/>
    <d v="2022-06-01T00:00:00"/>
    <x v="0"/>
    <x v="0"/>
    <d v="2023-01-24T00:00:00"/>
    <x v="9"/>
    <x v="4"/>
    <n v="11"/>
    <x v="1"/>
    <n v="34"/>
    <x v="2"/>
    <s v="No"/>
  </r>
  <r>
    <s v="CUST-0017"/>
    <x v="2"/>
    <x v="0"/>
    <x v="7"/>
    <x v="2"/>
    <n v="34"/>
    <n v="1184.05"/>
    <x v="4"/>
    <x v="0"/>
    <d v="2024-12-23T00:00:00"/>
    <x v="13"/>
    <x v="0"/>
    <d v="2024-12-31T00:00:00"/>
    <x v="10"/>
    <x v="6"/>
    <n v="3"/>
    <x v="0"/>
    <n v="49"/>
    <x v="2"/>
    <s v="No"/>
  </r>
  <r>
    <s v="CUST-0018"/>
    <x v="1"/>
    <x v="0"/>
    <x v="5"/>
    <x v="0"/>
    <n v="64"/>
    <n v="303.05"/>
    <x v="3"/>
    <x v="1"/>
    <d v="2023-06-21T00:00:00"/>
    <x v="14"/>
    <x v="0"/>
    <d v="2023-08-05T00:00:00"/>
    <x v="11"/>
    <x v="5"/>
    <n v="14"/>
    <x v="0"/>
    <n v="25"/>
    <x v="2"/>
    <s v="No"/>
  </r>
  <r>
    <s v="CUST-0019"/>
    <x v="0"/>
    <x v="1"/>
    <x v="8"/>
    <x v="1"/>
    <n v="67"/>
    <n v="731.93"/>
    <x v="2"/>
    <x v="3"/>
    <d v="2024-03-26T00:00:00"/>
    <x v="6"/>
    <x v="0"/>
    <d v="2025-04-23T00:00:00"/>
    <x v="2"/>
    <x v="5"/>
    <n v="10"/>
    <x v="3"/>
    <n v="10"/>
    <x v="0"/>
    <s v="No"/>
  </r>
  <r>
    <s v="CUST-0020"/>
    <x v="3"/>
    <x v="1"/>
    <x v="7"/>
    <x v="3"/>
    <n v="7"/>
    <n v="805.88"/>
    <x v="0"/>
    <x v="2"/>
    <d v="2023-08-11T00:00:00"/>
    <x v="15"/>
    <x v="1"/>
    <m/>
    <x v="1"/>
    <x v="1"/>
    <n v="8"/>
    <x v="1"/>
    <n v="93"/>
    <x v="3"/>
    <s v="No"/>
  </r>
  <r>
    <s v="CUST-0021"/>
    <x v="0"/>
    <x v="1"/>
    <x v="0"/>
    <x v="0"/>
    <n v="66"/>
    <n v="721.86"/>
    <x v="2"/>
    <x v="1"/>
    <d v="2023-11-23T00:00:00"/>
    <x v="9"/>
    <x v="0"/>
    <d v="2024-05-18T00:00:00"/>
    <x v="8"/>
    <x v="0"/>
    <n v="7"/>
    <x v="3"/>
    <n v="19"/>
    <x v="0"/>
    <s v="No"/>
  </r>
  <r>
    <s v="CUST-0022"/>
    <x v="2"/>
    <x v="1"/>
    <x v="7"/>
    <x v="3"/>
    <n v="6"/>
    <n v="296.01"/>
    <x v="3"/>
    <x v="1"/>
    <d v="2022-07-02T00:00:00"/>
    <x v="16"/>
    <x v="1"/>
    <m/>
    <x v="1"/>
    <x v="1"/>
    <n v="5"/>
    <x v="2"/>
    <n v="40"/>
    <x v="2"/>
    <s v="No"/>
  </r>
  <r>
    <s v="CUST-0023"/>
    <x v="1"/>
    <x v="0"/>
    <x v="6"/>
    <x v="2"/>
    <n v="25"/>
    <n v="133.4"/>
    <x v="4"/>
    <x v="1"/>
    <d v="2024-02-17T00:00:00"/>
    <x v="17"/>
    <x v="0"/>
    <d v="2024-04-23T00:00:00"/>
    <x v="12"/>
    <x v="5"/>
    <n v="11"/>
    <x v="5"/>
    <n v="16"/>
    <x v="0"/>
    <s v="No"/>
  </r>
  <r>
    <s v="CUST-0024"/>
    <x v="3"/>
    <x v="1"/>
    <x v="3"/>
    <x v="2"/>
    <n v="14"/>
    <n v="1251.24"/>
    <x v="3"/>
    <x v="1"/>
    <d v="2025-05-22T00:00:00"/>
    <x v="18"/>
    <x v="1"/>
    <m/>
    <x v="1"/>
    <x v="1"/>
    <n v="11"/>
    <x v="5"/>
    <n v="85"/>
    <x v="3"/>
    <s v="No"/>
  </r>
  <r>
    <s v="CUST-0025"/>
    <x v="1"/>
    <x v="1"/>
    <x v="0"/>
    <x v="2"/>
    <n v="7"/>
    <n v="46.83"/>
    <x v="3"/>
    <x v="0"/>
    <d v="2024-06-08T00:00:00"/>
    <x v="19"/>
    <x v="1"/>
    <m/>
    <x v="1"/>
    <x v="1"/>
    <n v="1"/>
    <x v="5"/>
    <n v="42"/>
    <x v="2"/>
    <s v="No"/>
  </r>
  <r>
    <s v="CUST-0026"/>
    <x v="3"/>
    <x v="1"/>
    <x v="5"/>
    <x v="3"/>
    <n v="4"/>
    <n v="615.02"/>
    <x v="3"/>
    <x v="1"/>
    <d v="2025-07-25T00:00:00"/>
    <x v="20"/>
    <x v="1"/>
    <m/>
    <x v="1"/>
    <x v="1"/>
    <n v="2"/>
    <x v="6"/>
    <n v="73"/>
    <x v="1"/>
    <s v="No"/>
  </r>
  <r>
    <s v="CUST-0027"/>
    <x v="1"/>
    <x v="0"/>
    <x v="9"/>
    <x v="3"/>
    <n v="1"/>
    <n v="29"/>
    <x v="2"/>
    <x v="2"/>
    <d v="2023-09-10T00:00:00"/>
    <x v="5"/>
    <x v="0"/>
    <d v="2025-04-24T00:00:00"/>
    <x v="2"/>
    <x v="2"/>
    <n v="8"/>
    <x v="0"/>
    <n v="10"/>
    <x v="0"/>
    <s v="No"/>
  </r>
  <r>
    <s v="CUST-0028"/>
    <x v="0"/>
    <x v="1"/>
    <x v="4"/>
    <x v="0"/>
    <n v="35"/>
    <n v="409.62"/>
    <x v="0"/>
    <x v="3"/>
    <d v="2025-12-29T00:00:00"/>
    <x v="21"/>
    <x v="1"/>
    <m/>
    <x v="1"/>
    <x v="1"/>
    <n v="8"/>
    <x v="1"/>
    <n v="53"/>
    <x v="1"/>
    <s v="No"/>
  </r>
  <r>
    <s v="CUST-0029"/>
    <x v="1"/>
    <x v="0"/>
    <x v="2"/>
    <x v="2"/>
    <n v="22"/>
    <n v="120.35"/>
    <x v="0"/>
    <x v="0"/>
    <d v="2022-12-06T00:00:00"/>
    <x v="8"/>
    <x v="0"/>
    <d v="2023-08-15T00:00:00"/>
    <x v="11"/>
    <x v="7"/>
    <n v="4"/>
    <x v="3"/>
    <n v="17"/>
    <x v="0"/>
    <s v="No"/>
  </r>
  <r>
    <s v="CUST-0030"/>
    <x v="2"/>
    <x v="1"/>
    <x v="2"/>
    <x v="1"/>
    <n v="230"/>
    <n v="5979.45"/>
    <x v="2"/>
    <x v="1"/>
    <d v="2023-11-04T00:00:00"/>
    <x v="9"/>
    <x v="1"/>
    <m/>
    <x v="1"/>
    <x v="1"/>
    <n v="9"/>
    <x v="0"/>
    <n v="76"/>
    <x v="1"/>
    <s v="No"/>
  </r>
  <r>
    <s v="CUST-0031"/>
    <x v="2"/>
    <x v="1"/>
    <x v="1"/>
    <x v="1"/>
    <n v="174"/>
    <n v="4558.59"/>
    <x v="1"/>
    <x v="1"/>
    <d v="2024-07-20T00:00:00"/>
    <x v="10"/>
    <x v="1"/>
    <m/>
    <x v="1"/>
    <x v="1"/>
    <n v="8"/>
    <x v="2"/>
    <n v="84"/>
    <x v="3"/>
    <s v="No"/>
  </r>
  <r>
    <s v="CUST-0032"/>
    <x v="3"/>
    <x v="1"/>
    <x v="4"/>
    <x v="3"/>
    <n v="5"/>
    <n v="678.64"/>
    <x v="3"/>
    <x v="0"/>
    <d v="2023-03-28T00:00:00"/>
    <x v="1"/>
    <x v="1"/>
    <m/>
    <x v="1"/>
    <x v="1"/>
    <n v="7"/>
    <x v="7"/>
    <n v="16"/>
    <x v="0"/>
    <s v="No"/>
  </r>
  <r>
    <s v="CUST-0033"/>
    <x v="1"/>
    <x v="1"/>
    <x v="9"/>
    <x v="3"/>
    <n v="6"/>
    <n v="43.14"/>
    <x v="0"/>
    <x v="3"/>
    <d v="2024-05-19T00:00:00"/>
    <x v="22"/>
    <x v="0"/>
    <d v="2024-07-29T00:00:00"/>
    <x v="13"/>
    <x v="6"/>
    <n v="11"/>
    <x v="0"/>
    <n v="30"/>
    <x v="2"/>
    <s v="No"/>
  </r>
  <r>
    <s v="CUST-0034"/>
    <x v="3"/>
    <x v="1"/>
    <x v="7"/>
    <x v="2"/>
    <n v="35"/>
    <n v="2587.3200000000002"/>
    <x v="3"/>
    <x v="0"/>
    <d v="2023-09-25T00:00:00"/>
    <x v="5"/>
    <x v="1"/>
    <m/>
    <x v="1"/>
    <x v="1"/>
    <n v="5"/>
    <x v="7"/>
    <n v="33"/>
    <x v="2"/>
    <s v="Yes"/>
  </r>
  <r>
    <s v="CUST-0035"/>
    <x v="1"/>
    <x v="0"/>
    <x v="3"/>
    <x v="0"/>
    <n v="70"/>
    <n v="329.15"/>
    <x v="0"/>
    <x v="3"/>
    <d v="2022-05-08T00:00:00"/>
    <x v="11"/>
    <x v="0"/>
    <d v="2022-07-24T00:00:00"/>
    <x v="14"/>
    <x v="3"/>
    <n v="0"/>
    <x v="4"/>
    <n v="30"/>
    <x v="2"/>
    <s v="No"/>
  </r>
  <r>
    <s v="CUST-0036"/>
    <x v="0"/>
    <x v="0"/>
    <x v="3"/>
    <x v="3"/>
    <n v="7"/>
    <n v="150.1"/>
    <x v="3"/>
    <x v="3"/>
    <d v="2023-04-22T00:00:00"/>
    <x v="23"/>
    <x v="0"/>
    <d v="2023-12-24T00:00:00"/>
    <x v="5"/>
    <x v="5"/>
    <n v="10"/>
    <x v="4"/>
    <n v="16"/>
    <x v="0"/>
    <s v="No"/>
  </r>
  <r>
    <s v="CUST-0037"/>
    <x v="0"/>
    <x v="0"/>
    <x v="4"/>
    <x v="3"/>
    <n v="2"/>
    <n v="90.85"/>
    <x v="1"/>
    <x v="0"/>
    <d v="2024-06-14T00:00:00"/>
    <x v="19"/>
    <x v="0"/>
    <d v="2024-11-08T00:00:00"/>
    <x v="15"/>
    <x v="6"/>
    <n v="11"/>
    <x v="3"/>
    <n v="34"/>
    <x v="2"/>
    <s v="No"/>
  </r>
  <r>
    <s v="CUST-0038"/>
    <x v="0"/>
    <x v="0"/>
    <x v="2"/>
    <x v="3"/>
    <n v="5"/>
    <n v="126.4"/>
    <x v="0"/>
    <x v="1"/>
    <d v="2022-06-06T00:00:00"/>
    <x v="0"/>
    <x v="0"/>
    <d v="2022-08-11T00:00:00"/>
    <x v="16"/>
    <x v="4"/>
    <n v="6"/>
    <x v="5"/>
    <n v="30"/>
    <x v="2"/>
    <s v="No"/>
  </r>
  <r>
    <s v="CUST-0039"/>
    <x v="2"/>
    <x v="1"/>
    <x v="0"/>
    <x v="0"/>
    <n v="30"/>
    <n v="904.95"/>
    <x v="0"/>
    <x v="2"/>
    <d v="2024-05-02T00:00:00"/>
    <x v="22"/>
    <x v="1"/>
    <m/>
    <x v="1"/>
    <x v="1"/>
    <n v="4"/>
    <x v="6"/>
    <n v="71"/>
    <x v="1"/>
    <s v="Yes"/>
  </r>
  <r>
    <s v="CUST-0040"/>
    <x v="2"/>
    <x v="1"/>
    <x v="5"/>
    <x v="2"/>
    <n v="24"/>
    <n v="752.72"/>
    <x v="1"/>
    <x v="2"/>
    <d v="2023-05-17T00:00:00"/>
    <x v="24"/>
    <x v="1"/>
    <m/>
    <x v="1"/>
    <x v="1"/>
    <n v="9"/>
    <x v="3"/>
    <n v="76"/>
    <x v="1"/>
    <s v="No"/>
  </r>
  <r>
    <s v="CUST-0041"/>
    <x v="1"/>
    <x v="0"/>
    <x v="7"/>
    <x v="0"/>
    <n v="53"/>
    <n v="255.2"/>
    <x v="3"/>
    <x v="2"/>
    <d v="2022-12-21T00:00:00"/>
    <x v="8"/>
    <x v="0"/>
    <d v="2023-05-19T00:00:00"/>
    <x v="17"/>
    <x v="2"/>
    <n v="4"/>
    <x v="8"/>
    <n v="45"/>
    <x v="2"/>
    <s v="No"/>
  </r>
  <r>
    <s v="CUST-0042"/>
    <x v="1"/>
    <x v="0"/>
    <x v="2"/>
    <x v="0"/>
    <n v="34"/>
    <n v="172.55"/>
    <x v="2"/>
    <x v="1"/>
    <d v="2025-01-04T00:00:00"/>
    <x v="25"/>
    <x v="1"/>
    <m/>
    <x v="1"/>
    <x v="1"/>
    <n v="9"/>
    <x v="3"/>
    <n v="73"/>
    <x v="1"/>
    <s v="No"/>
  </r>
  <r>
    <s v="CUST-0043"/>
    <x v="0"/>
    <x v="1"/>
    <x v="3"/>
    <x v="3"/>
    <n v="2"/>
    <n v="77.22"/>
    <x v="4"/>
    <x v="1"/>
    <d v="2022-02-20T00:00:00"/>
    <x v="26"/>
    <x v="1"/>
    <m/>
    <x v="1"/>
    <x v="1"/>
    <n v="9"/>
    <x v="6"/>
    <n v="20"/>
    <x v="0"/>
    <s v="No"/>
  </r>
  <r>
    <s v="CUST-0044"/>
    <x v="0"/>
    <x v="1"/>
    <x v="8"/>
    <x v="3"/>
    <n v="2"/>
    <n v="77.22"/>
    <x v="5"/>
    <x v="0"/>
    <d v="2022-04-27T00:00:00"/>
    <x v="27"/>
    <x v="0"/>
    <d v="2022-08-02T00:00:00"/>
    <x v="16"/>
    <x v="0"/>
    <n v="7"/>
    <x v="4"/>
    <n v="20"/>
    <x v="0"/>
    <s v="No"/>
  </r>
  <r>
    <s v="CUST-0045"/>
    <x v="1"/>
    <x v="0"/>
    <x v="0"/>
    <x v="2"/>
    <n v="7"/>
    <n v="55.1"/>
    <x v="5"/>
    <x v="3"/>
    <d v="2025-09-10T00:00:00"/>
    <x v="4"/>
    <x v="1"/>
    <m/>
    <x v="1"/>
    <x v="1"/>
    <n v="12"/>
    <x v="1"/>
    <n v="67"/>
    <x v="1"/>
    <s v="No"/>
  </r>
  <r>
    <s v="CUST-0046"/>
    <x v="0"/>
    <x v="0"/>
    <x v="1"/>
    <x v="3"/>
    <n v="4"/>
    <n v="114.55"/>
    <x v="4"/>
    <x v="0"/>
    <d v="2023-07-07T00:00:00"/>
    <x v="28"/>
    <x v="0"/>
    <d v="2024-02-28T00:00:00"/>
    <x v="18"/>
    <x v="7"/>
    <n v="1"/>
    <x v="4"/>
    <n v="42"/>
    <x v="2"/>
    <s v="No"/>
  </r>
  <r>
    <s v="CUST-0047"/>
    <x v="2"/>
    <x v="0"/>
    <x v="5"/>
    <x v="3"/>
    <n v="5"/>
    <n v="318.39999999999998"/>
    <x v="2"/>
    <x v="0"/>
    <d v="2023-01-17T00:00:00"/>
    <x v="3"/>
    <x v="0"/>
    <d v="2025-06-13T00:00:00"/>
    <x v="3"/>
    <x v="6"/>
    <n v="15"/>
    <x v="1"/>
    <n v="46"/>
    <x v="2"/>
    <s v="No"/>
  </r>
  <r>
    <s v="CUST-0048"/>
    <x v="2"/>
    <x v="1"/>
    <x v="7"/>
    <x v="3"/>
    <n v="4"/>
    <n v="245.27"/>
    <x v="3"/>
    <x v="1"/>
    <d v="2022-04-18T00:00:00"/>
    <x v="27"/>
    <x v="0"/>
    <d v="2022-07-12T00:00:00"/>
    <x v="14"/>
    <x v="4"/>
    <n v="4"/>
    <x v="8"/>
    <n v="16"/>
    <x v="0"/>
    <s v="No"/>
  </r>
  <r>
    <s v="CUST-0049"/>
    <x v="0"/>
    <x v="0"/>
    <x v="2"/>
    <x v="0"/>
    <n v="36"/>
    <n v="493.75"/>
    <x v="2"/>
    <x v="2"/>
    <d v="2022-05-18T00:00:00"/>
    <x v="11"/>
    <x v="0"/>
    <d v="2022-08-27T00:00:00"/>
    <x v="16"/>
    <x v="2"/>
    <n v="1"/>
    <x v="4"/>
    <n v="26"/>
    <x v="2"/>
    <s v="No"/>
  </r>
  <r>
    <s v="CUST-0050"/>
    <x v="1"/>
    <x v="1"/>
    <x v="6"/>
    <x v="3"/>
    <n v="7"/>
    <n v="46.83"/>
    <x v="0"/>
    <x v="0"/>
    <d v="2022-06-22T00:00:00"/>
    <x v="0"/>
    <x v="0"/>
    <d v="2024-06-30T00:00:00"/>
    <x v="19"/>
    <x v="0"/>
    <n v="2"/>
    <x v="0"/>
    <n v="38"/>
    <x v="2"/>
    <s v="No"/>
  </r>
  <r>
    <s v="CUST-0051"/>
    <x v="0"/>
    <x v="0"/>
    <x v="9"/>
    <x v="0"/>
    <n v="58"/>
    <n v="754.45"/>
    <x v="2"/>
    <x v="1"/>
    <d v="2022-12-27T00:00:00"/>
    <x v="8"/>
    <x v="0"/>
    <d v="2023-04-14T00:00:00"/>
    <x v="4"/>
    <x v="0"/>
    <n v="10"/>
    <x v="0"/>
    <n v="29"/>
    <x v="2"/>
    <s v="No"/>
  </r>
  <r>
    <s v="CUST-0052"/>
    <x v="1"/>
    <x v="0"/>
    <x v="6"/>
    <x v="4"/>
    <n v="138"/>
    <n v="624.95000000000005"/>
    <x v="3"/>
    <x v="0"/>
    <d v="2025-03-16T00:00:00"/>
    <x v="29"/>
    <x v="0"/>
    <d v="2025-07-15T00:00:00"/>
    <x v="20"/>
    <x v="4"/>
    <n v="0"/>
    <x v="5"/>
    <n v="38"/>
    <x v="2"/>
    <s v="No"/>
  </r>
  <r>
    <s v="CUST-0053"/>
    <x v="1"/>
    <x v="0"/>
    <x v="3"/>
    <x v="3"/>
    <n v="4"/>
    <n v="42.05"/>
    <x v="0"/>
    <x v="0"/>
    <d v="2025-04-03T00:00:00"/>
    <x v="7"/>
    <x v="0"/>
    <d v="2025-07-04T00:00:00"/>
    <x v="20"/>
    <x v="0"/>
    <n v="1"/>
    <x v="3"/>
    <n v="43"/>
    <x v="2"/>
    <s v="No"/>
  </r>
  <r>
    <s v="CUST-0054"/>
    <x v="0"/>
    <x v="1"/>
    <x v="6"/>
    <x v="4"/>
    <n v="82"/>
    <n v="883.02"/>
    <x v="5"/>
    <x v="0"/>
    <d v="2024-06-23T00:00:00"/>
    <x v="19"/>
    <x v="1"/>
    <m/>
    <x v="1"/>
    <x v="1"/>
    <n v="4"/>
    <x v="7"/>
    <n v="81"/>
    <x v="3"/>
    <s v="No"/>
  </r>
  <r>
    <s v="CUST-0055"/>
    <x v="2"/>
    <x v="0"/>
    <x v="3"/>
    <x v="3"/>
    <n v="7"/>
    <n v="378.1"/>
    <x v="0"/>
    <x v="0"/>
    <d v="2022-04-13T00:00:00"/>
    <x v="27"/>
    <x v="0"/>
    <d v="2024-09-16T00:00:00"/>
    <x v="21"/>
    <x v="7"/>
    <n v="6"/>
    <x v="3"/>
    <n v="21"/>
    <x v="2"/>
    <s v="No"/>
  </r>
  <r>
    <s v="CUST-0056"/>
    <x v="2"/>
    <x v="0"/>
    <x v="4"/>
    <x v="2"/>
    <n v="14"/>
    <n v="587.04999999999995"/>
    <x v="4"/>
    <x v="0"/>
    <d v="2024-12-23T00:00:00"/>
    <x v="13"/>
    <x v="0"/>
    <d v="2025-11-15T00:00:00"/>
    <x v="22"/>
    <x v="7"/>
    <n v="3"/>
    <x v="3"/>
    <n v="37"/>
    <x v="2"/>
    <s v="No"/>
  </r>
  <r>
    <s v="CUST-0057"/>
    <x v="0"/>
    <x v="1"/>
    <x v="6"/>
    <x v="2"/>
    <n v="34"/>
    <n v="399.54"/>
    <x v="3"/>
    <x v="0"/>
    <d v="2024-07-12T00:00:00"/>
    <x v="10"/>
    <x v="0"/>
    <d v="2025-08-05T00:00:00"/>
    <x v="23"/>
    <x v="6"/>
    <n v="1"/>
    <x v="5"/>
    <n v="10"/>
    <x v="0"/>
    <s v="No"/>
  </r>
  <r>
    <s v="CUST-0058"/>
    <x v="1"/>
    <x v="0"/>
    <x v="2"/>
    <x v="4"/>
    <n v="48"/>
    <n v="233.45"/>
    <x v="3"/>
    <x v="1"/>
    <d v="2022-09-10T00:00:00"/>
    <x v="30"/>
    <x v="0"/>
    <d v="2023-03-17T00:00:00"/>
    <x v="24"/>
    <x v="0"/>
    <n v="2"/>
    <x v="5"/>
    <n v="12"/>
    <x v="0"/>
    <s v="No"/>
  </r>
  <r>
    <s v="CUST-0059"/>
    <x v="0"/>
    <x v="1"/>
    <x v="6"/>
    <x v="2"/>
    <n v="28"/>
    <n v="339.11"/>
    <x v="5"/>
    <x v="0"/>
    <d v="2023-12-30T00:00:00"/>
    <x v="31"/>
    <x v="0"/>
    <d v="2024-10-10T00:00:00"/>
    <x v="25"/>
    <x v="7"/>
    <n v="5"/>
    <x v="5"/>
    <n v="13"/>
    <x v="0"/>
    <s v="No"/>
  </r>
  <r>
    <s v="CUST-0060"/>
    <x v="0"/>
    <x v="0"/>
    <x v="1"/>
    <x v="0"/>
    <n v="59"/>
    <n v="766.3"/>
    <x v="2"/>
    <x v="2"/>
    <d v="2024-07-30T00:00:00"/>
    <x v="10"/>
    <x v="0"/>
    <d v="2024-09-07T00:00:00"/>
    <x v="21"/>
    <x v="3"/>
    <n v="12"/>
    <x v="5"/>
    <n v="45"/>
    <x v="2"/>
    <s v="No"/>
  </r>
  <r>
    <s v="CUST-0061"/>
    <x v="2"/>
    <x v="0"/>
    <x v="8"/>
    <x v="0"/>
    <n v="53"/>
    <n v="1751.2"/>
    <x v="3"/>
    <x v="1"/>
    <d v="2022-03-25T00:00:00"/>
    <x v="32"/>
    <x v="0"/>
    <d v="2023-04-06T00:00:00"/>
    <x v="4"/>
    <x v="3"/>
    <n v="13"/>
    <x v="8"/>
    <n v="11"/>
    <x v="0"/>
    <s v="No"/>
  </r>
  <r>
    <s v="CUST-0062"/>
    <x v="0"/>
    <x v="0"/>
    <x v="1"/>
    <x v="2"/>
    <n v="21"/>
    <n v="316"/>
    <x v="4"/>
    <x v="0"/>
    <d v="2022-10-01T00:00:00"/>
    <x v="33"/>
    <x v="0"/>
    <d v="2024-04-13T00:00:00"/>
    <x v="12"/>
    <x v="3"/>
    <n v="1"/>
    <x v="0"/>
    <n v="16"/>
    <x v="0"/>
    <s v="No"/>
  </r>
  <r>
    <s v="CUST-0063"/>
    <x v="3"/>
    <x v="1"/>
    <x v="0"/>
    <x v="2"/>
    <n v="18"/>
    <n v="1505.73"/>
    <x v="0"/>
    <x v="0"/>
    <d v="2025-08-21T00:00:00"/>
    <x v="34"/>
    <x v="1"/>
    <m/>
    <x v="1"/>
    <x v="1"/>
    <n v="3"/>
    <x v="2"/>
    <n v="61"/>
    <x v="1"/>
    <s v="No"/>
  </r>
  <r>
    <s v="CUST-0064"/>
    <x v="0"/>
    <x v="1"/>
    <x v="0"/>
    <x v="0"/>
    <n v="51"/>
    <n v="570.77"/>
    <x v="1"/>
    <x v="2"/>
    <d v="2022-10-02T00:00:00"/>
    <x v="33"/>
    <x v="1"/>
    <m/>
    <x v="1"/>
    <x v="1"/>
    <n v="1"/>
    <x v="9"/>
    <n v="33"/>
    <x v="2"/>
    <s v="No"/>
  </r>
  <r>
    <s v="CUST-0065"/>
    <x v="1"/>
    <x v="0"/>
    <x v="3"/>
    <x v="4"/>
    <n v="60"/>
    <n v="285.64999999999998"/>
    <x v="1"/>
    <x v="0"/>
    <d v="2022-11-12T00:00:00"/>
    <x v="35"/>
    <x v="0"/>
    <d v="2022-11-20T00:00:00"/>
    <x v="26"/>
    <x v="2"/>
    <n v="13"/>
    <x v="0"/>
    <n v="46"/>
    <x v="2"/>
    <s v="No"/>
  </r>
  <r>
    <s v="CUST-0066"/>
    <x v="1"/>
    <x v="1"/>
    <x v="7"/>
    <x v="0"/>
    <n v="55"/>
    <n v="224.31"/>
    <x v="0"/>
    <x v="0"/>
    <d v="2024-06-28T00:00:00"/>
    <x v="19"/>
    <x v="0"/>
    <d v="2024-07-21T00:00:00"/>
    <x v="13"/>
    <x v="2"/>
    <n v="12"/>
    <x v="5"/>
    <n v="12"/>
    <x v="0"/>
    <s v="No"/>
  </r>
  <r>
    <s v="CUST-0067"/>
    <x v="2"/>
    <x v="1"/>
    <x v="5"/>
    <x v="3"/>
    <n v="7"/>
    <n v="321.38"/>
    <x v="4"/>
    <x v="0"/>
    <d v="2023-09-28T00:00:00"/>
    <x v="5"/>
    <x v="1"/>
    <m/>
    <x v="1"/>
    <x v="1"/>
    <n v="4"/>
    <x v="7"/>
    <n v="30"/>
    <x v="2"/>
    <s v="No"/>
  </r>
  <r>
    <s v="CUST-0068"/>
    <x v="0"/>
    <x v="1"/>
    <x v="7"/>
    <x v="3"/>
    <n v="1"/>
    <n v="67.150000000000006"/>
    <x v="3"/>
    <x v="2"/>
    <d v="2025-12-02T00:00:00"/>
    <x v="21"/>
    <x v="1"/>
    <m/>
    <x v="1"/>
    <x v="1"/>
    <n v="7"/>
    <x v="0"/>
    <n v="29"/>
    <x v="2"/>
    <s v="No"/>
  </r>
  <r>
    <s v="CUST-0069"/>
    <x v="1"/>
    <x v="1"/>
    <x v="5"/>
    <x v="3"/>
    <n v="2"/>
    <n v="28.35"/>
    <x v="0"/>
    <x v="1"/>
    <d v="2023-07-30T00:00:00"/>
    <x v="28"/>
    <x v="0"/>
    <d v="2024-09-17T00:00:00"/>
    <x v="21"/>
    <x v="7"/>
    <n v="1"/>
    <x v="3"/>
    <n v="25"/>
    <x v="2"/>
    <s v="No"/>
  </r>
  <r>
    <s v="CUST-0070"/>
    <x v="2"/>
    <x v="0"/>
    <x v="4"/>
    <x v="0"/>
    <n v="64"/>
    <n v="2079.5500000000002"/>
    <x v="0"/>
    <x v="0"/>
    <d v="2022-08-25T00:00:00"/>
    <x v="36"/>
    <x v="0"/>
    <d v="2022-08-27T00:00:00"/>
    <x v="16"/>
    <x v="6"/>
    <n v="3"/>
    <x v="5"/>
    <n v="28"/>
    <x v="2"/>
    <s v="No"/>
  </r>
  <r>
    <s v="CUST-0071"/>
    <x v="3"/>
    <x v="0"/>
    <x v="0"/>
    <x v="4"/>
    <n v="58"/>
    <n v="4765.45"/>
    <x v="0"/>
    <x v="1"/>
    <d v="2022-01-22T00:00:00"/>
    <x v="37"/>
    <x v="1"/>
    <m/>
    <x v="1"/>
    <x v="1"/>
    <n v="4"/>
    <x v="9"/>
    <n v="42"/>
    <x v="2"/>
    <s v="No"/>
  </r>
  <r>
    <s v="CUST-0072"/>
    <x v="1"/>
    <x v="0"/>
    <x v="9"/>
    <x v="0"/>
    <n v="31"/>
    <n v="159.5"/>
    <x v="0"/>
    <x v="0"/>
    <d v="2024-06-21T00:00:00"/>
    <x v="19"/>
    <x v="1"/>
    <m/>
    <x v="1"/>
    <x v="1"/>
    <n v="7"/>
    <x v="9"/>
    <n v="81"/>
    <x v="3"/>
    <s v="No"/>
  </r>
  <r>
    <s v="CUST-0073"/>
    <x v="0"/>
    <x v="0"/>
    <x v="6"/>
    <x v="4"/>
    <n v="106"/>
    <n v="1323.25"/>
    <x v="3"/>
    <x v="0"/>
    <d v="2025-05-20T00:00:00"/>
    <x v="18"/>
    <x v="1"/>
    <m/>
    <x v="1"/>
    <x v="1"/>
    <n v="7"/>
    <x v="3"/>
    <n v="87"/>
    <x v="3"/>
    <s v="Yes"/>
  </r>
  <r>
    <s v="CUST-0074"/>
    <x v="1"/>
    <x v="0"/>
    <x v="8"/>
    <x v="0"/>
    <n v="42"/>
    <n v="207.35"/>
    <x v="4"/>
    <x v="0"/>
    <d v="2023-12-14T00:00:00"/>
    <x v="31"/>
    <x v="0"/>
    <d v="2024-12-03T00:00:00"/>
    <x v="10"/>
    <x v="5"/>
    <n v="12"/>
    <x v="0"/>
    <n v="10"/>
    <x v="0"/>
    <s v="No"/>
  </r>
  <r>
    <s v="CUST-0075"/>
    <x v="0"/>
    <x v="0"/>
    <x v="0"/>
    <x v="3"/>
    <n v="6"/>
    <n v="138.25"/>
    <x v="4"/>
    <x v="0"/>
    <d v="2022-12-30T00:00:00"/>
    <x v="8"/>
    <x v="1"/>
    <m/>
    <x v="1"/>
    <x v="1"/>
    <n v="5"/>
    <x v="5"/>
    <n v="49"/>
    <x v="2"/>
    <s v="No"/>
  </r>
  <r>
    <s v="CUST-0076"/>
    <x v="0"/>
    <x v="1"/>
    <x v="6"/>
    <x v="4"/>
    <n v="56"/>
    <n v="621.14"/>
    <x v="3"/>
    <x v="1"/>
    <d v="2024-03-03T00:00:00"/>
    <x v="6"/>
    <x v="1"/>
    <m/>
    <x v="1"/>
    <x v="1"/>
    <n v="2"/>
    <x v="8"/>
    <n v="87"/>
    <x v="3"/>
    <s v="No"/>
  </r>
  <r>
    <s v="CUST-0077"/>
    <x v="3"/>
    <x v="0"/>
    <x v="5"/>
    <x v="0"/>
    <n v="52"/>
    <n v="4316.3500000000004"/>
    <x v="2"/>
    <x v="1"/>
    <d v="2023-05-01T00:00:00"/>
    <x v="24"/>
    <x v="1"/>
    <m/>
    <x v="1"/>
    <x v="1"/>
    <n v="4"/>
    <x v="2"/>
    <n v="88"/>
    <x v="3"/>
    <s v="No"/>
  </r>
  <r>
    <s v="CUST-0078"/>
    <x v="1"/>
    <x v="1"/>
    <x v="5"/>
    <x v="0"/>
    <n v="24"/>
    <n v="109.69"/>
    <x v="2"/>
    <x v="1"/>
    <d v="2023-02-21T00:00:00"/>
    <x v="38"/>
    <x v="0"/>
    <d v="2025-09-09T00:00:00"/>
    <x v="27"/>
    <x v="4"/>
    <n v="2"/>
    <x v="1"/>
    <n v="16"/>
    <x v="0"/>
    <s v="No"/>
  </r>
  <r>
    <s v="CUST-0079"/>
    <x v="2"/>
    <x v="0"/>
    <x v="6"/>
    <x v="0"/>
    <n v="40"/>
    <n v="1363.15"/>
    <x v="5"/>
    <x v="0"/>
    <d v="2024-01-06T00:00:00"/>
    <x v="12"/>
    <x v="1"/>
    <m/>
    <x v="1"/>
    <x v="1"/>
    <n v="0"/>
    <x v="1"/>
    <n v="29"/>
    <x v="2"/>
    <s v="No"/>
  </r>
  <r>
    <s v="CUST-0080"/>
    <x v="1"/>
    <x v="0"/>
    <x v="6"/>
    <x v="2"/>
    <n v="5"/>
    <n v="46.4"/>
    <x v="0"/>
    <x v="2"/>
    <d v="2025-03-05T00:00:00"/>
    <x v="29"/>
    <x v="0"/>
    <d v="2025-04-06T00:00:00"/>
    <x v="2"/>
    <x v="6"/>
    <n v="0"/>
    <x v="4"/>
    <n v="20"/>
    <x v="0"/>
    <s v="No"/>
  </r>
  <r>
    <s v="CUST-0081"/>
    <x v="2"/>
    <x v="1"/>
    <x v="1"/>
    <x v="2"/>
    <n v="24"/>
    <n v="752.72"/>
    <x v="0"/>
    <x v="2"/>
    <d v="2024-01-17T00:00:00"/>
    <x v="12"/>
    <x v="1"/>
    <m/>
    <x v="1"/>
    <x v="1"/>
    <n v="2"/>
    <x v="4"/>
    <n v="86"/>
    <x v="3"/>
    <s v="No"/>
  </r>
  <r>
    <s v="CUST-0082"/>
    <x v="1"/>
    <x v="1"/>
    <x v="4"/>
    <x v="3"/>
    <n v="1"/>
    <n v="24.65"/>
    <x v="5"/>
    <x v="1"/>
    <d v="2024-06-19T00:00:00"/>
    <x v="19"/>
    <x v="0"/>
    <d v="2025-06-04T00:00:00"/>
    <x v="3"/>
    <x v="4"/>
    <n v="14"/>
    <x v="3"/>
    <n v="22"/>
    <x v="2"/>
    <s v="No"/>
  </r>
  <r>
    <s v="CUST-0083"/>
    <x v="0"/>
    <x v="0"/>
    <x v="7"/>
    <x v="3"/>
    <n v="5"/>
    <n v="126.4"/>
    <x v="4"/>
    <x v="2"/>
    <d v="2025-09-12T00:00:00"/>
    <x v="4"/>
    <x v="1"/>
    <m/>
    <x v="1"/>
    <x v="1"/>
    <n v="6"/>
    <x v="6"/>
    <n v="56"/>
    <x v="1"/>
    <s v="No"/>
  </r>
  <r>
    <s v="CUST-0084"/>
    <x v="2"/>
    <x v="0"/>
    <x v="2"/>
    <x v="4"/>
    <n v="71"/>
    <n v="2288.5"/>
    <x v="3"/>
    <x v="1"/>
    <d v="2023-01-21T00:00:00"/>
    <x v="3"/>
    <x v="0"/>
    <d v="2024-01-17T00:00:00"/>
    <x v="28"/>
    <x v="7"/>
    <n v="6"/>
    <x v="8"/>
    <n v="29"/>
    <x v="2"/>
    <s v="No"/>
  </r>
  <r>
    <s v="CUST-0085"/>
    <x v="1"/>
    <x v="0"/>
    <x v="2"/>
    <x v="2"/>
    <n v="21"/>
    <n v="116"/>
    <x v="2"/>
    <x v="3"/>
    <d v="2025-01-04T00:00:00"/>
    <x v="25"/>
    <x v="0"/>
    <d v="2025-03-14T00:00:00"/>
    <x v="29"/>
    <x v="5"/>
    <n v="13"/>
    <x v="3"/>
    <n v="42"/>
    <x v="2"/>
    <s v="No"/>
  </r>
  <r>
    <s v="CUST-0086"/>
    <x v="2"/>
    <x v="0"/>
    <x v="4"/>
    <x v="2"/>
    <n v="27"/>
    <n v="975.1"/>
    <x v="2"/>
    <x v="1"/>
    <d v="2024-07-06T00:00:00"/>
    <x v="10"/>
    <x v="1"/>
    <m/>
    <x v="1"/>
    <x v="1"/>
    <n v="9"/>
    <x v="2"/>
    <n v="35"/>
    <x v="2"/>
    <s v="No"/>
  </r>
  <r>
    <s v="CUST-0087"/>
    <x v="0"/>
    <x v="1"/>
    <x v="7"/>
    <x v="0"/>
    <n v="17"/>
    <n v="228.31"/>
    <x v="1"/>
    <x v="1"/>
    <d v="2024-05-09T00:00:00"/>
    <x v="22"/>
    <x v="1"/>
    <m/>
    <x v="1"/>
    <x v="1"/>
    <n v="2"/>
    <x v="1"/>
    <n v="88"/>
    <x v="3"/>
    <s v="No"/>
  </r>
  <r>
    <s v="CUST-0088"/>
    <x v="1"/>
    <x v="0"/>
    <x v="9"/>
    <x v="0"/>
    <n v="76"/>
    <n v="355.25"/>
    <x v="3"/>
    <x v="2"/>
    <d v="2024-12-15T00:00:00"/>
    <x v="13"/>
    <x v="0"/>
    <d v="2025-05-29T00:00:00"/>
    <x v="30"/>
    <x v="4"/>
    <n v="7"/>
    <x v="0"/>
    <n v="20"/>
    <x v="0"/>
    <s v="No"/>
  </r>
  <r>
    <s v="CUST-0089"/>
    <x v="0"/>
    <x v="1"/>
    <x v="6"/>
    <x v="4"/>
    <n v="75"/>
    <n v="812.51"/>
    <x v="0"/>
    <x v="2"/>
    <d v="2022-11-21T00:00:00"/>
    <x v="35"/>
    <x v="0"/>
    <d v="2023-10-01T00:00:00"/>
    <x v="31"/>
    <x v="2"/>
    <n v="12"/>
    <x v="4"/>
    <n v="20"/>
    <x v="0"/>
    <s v="No"/>
  </r>
  <r>
    <s v="CUST-0090"/>
    <x v="2"/>
    <x v="1"/>
    <x v="6"/>
    <x v="0"/>
    <n v="67"/>
    <n v="1843.73"/>
    <x v="4"/>
    <x v="1"/>
    <d v="2022-03-28T00:00:00"/>
    <x v="32"/>
    <x v="0"/>
    <d v="2022-11-20T00:00:00"/>
    <x v="26"/>
    <x v="3"/>
    <n v="7"/>
    <x v="5"/>
    <n v="36"/>
    <x v="2"/>
    <s v="No"/>
  </r>
  <r>
    <s v="CUST-0091"/>
    <x v="3"/>
    <x v="1"/>
    <x v="5"/>
    <x v="2"/>
    <n v="20"/>
    <n v="1632.98"/>
    <x v="3"/>
    <x v="0"/>
    <d v="2024-10-31T00:00:00"/>
    <x v="2"/>
    <x v="0"/>
    <d v="2025-02-22T00:00:00"/>
    <x v="32"/>
    <x v="5"/>
    <n v="13"/>
    <x v="3"/>
    <n v="42"/>
    <x v="2"/>
    <s v="No"/>
  </r>
  <r>
    <s v="CUST-0092"/>
    <x v="1"/>
    <x v="0"/>
    <x v="9"/>
    <x v="3"/>
    <n v="5"/>
    <n v="46.4"/>
    <x v="2"/>
    <x v="2"/>
    <d v="2025-03-16T00:00:00"/>
    <x v="29"/>
    <x v="1"/>
    <m/>
    <x v="1"/>
    <x v="1"/>
    <n v="7"/>
    <x v="2"/>
    <n v="41"/>
    <x v="2"/>
    <s v="No"/>
  </r>
  <r>
    <s v="CUST-0093"/>
    <x v="1"/>
    <x v="0"/>
    <x v="3"/>
    <x v="3"/>
    <n v="7"/>
    <n v="55.1"/>
    <x v="1"/>
    <x v="0"/>
    <d v="2025-10-30T00:00:00"/>
    <x v="39"/>
    <x v="1"/>
    <m/>
    <x v="1"/>
    <x v="1"/>
    <n v="2"/>
    <x v="9"/>
    <n v="63"/>
    <x v="1"/>
    <s v="No"/>
  </r>
  <r>
    <s v="CUST-0094"/>
    <x v="2"/>
    <x v="0"/>
    <x v="7"/>
    <x v="1"/>
    <n v="234"/>
    <n v="7154.05"/>
    <x v="2"/>
    <x v="0"/>
    <d v="2022-07-29T00:00:00"/>
    <x v="16"/>
    <x v="0"/>
    <d v="2025-09-30T00:00:00"/>
    <x v="27"/>
    <x v="2"/>
    <n v="4"/>
    <x v="4"/>
    <n v="14"/>
    <x v="0"/>
    <s v="No"/>
  </r>
  <r>
    <s v="CUST-0095"/>
    <x v="0"/>
    <x v="0"/>
    <x v="1"/>
    <x v="2"/>
    <n v="14"/>
    <n v="233.05"/>
    <x v="4"/>
    <x v="0"/>
    <d v="2022-10-25T00:00:00"/>
    <x v="33"/>
    <x v="0"/>
    <d v="2023-04-09T00:00:00"/>
    <x v="4"/>
    <x v="4"/>
    <n v="5"/>
    <x v="4"/>
    <n v="11"/>
    <x v="0"/>
    <s v="No"/>
  </r>
  <r>
    <s v="CUST-0096"/>
    <x v="1"/>
    <x v="0"/>
    <x v="8"/>
    <x v="2"/>
    <n v="15"/>
    <n v="89.9"/>
    <x v="1"/>
    <x v="0"/>
    <d v="2023-08-31T00:00:00"/>
    <x v="15"/>
    <x v="0"/>
    <d v="2023-09-26T00:00:00"/>
    <x v="33"/>
    <x v="0"/>
    <n v="12"/>
    <x v="5"/>
    <n v="12"/>
    <x v="0"/>
    <s v="No"/>
  </r>
  <r>
    <s v="CUST-0097"/>
    <x v="3"/>
    <x v="0"/>
    <x v="7"/>
    <x v="0"/>
    <n v="31"/>
    <n v="2744.5"/>
    <x v="0"/>
    <x v="0"/>
    <d v="2023-10-16T00:00:00"/>
    <x v="40"/>
    <x v="1"/>
    <m/>
    <x v="1"/>
    <x v="1"/>
    <n v="1"/>
    <x v="5"/>
    <n v="22"/>
    <x v="2"/>
    <s v="No"/>
  </r>
  <r>
    <s v="CUST-0098"/>
    <x v="0"/>
    <x v="1"/>
    <x v="9"/>
    <x v="3"/>
    <n v="8"/>
    <n v="137.66"/>
    <x v="0"/>
    <x v="0"/>
    <d v="2025-11-28T00:00:00"/>
    <x v="41"/>
    <x v="0"/>
    <d v="2025-12-14T00:00:00"/>
    <x v="34"/>
    <x v="5"/>
    <n v="10"/>
    <x v="4"/>
    <n v="43"/>
    <x v="2"/>
    <s v="No"/>
  </r>
  <r>
    <s v="CUST-0099"/>
    <x v="3"/>
    <x v="0"/>
    <x v="3"/>
    <x v="2"/>
    <n v="6"/>
    <n v="873.25"/>
    <x v="0"/>
    <x v="2"/>
    <d v="2022-08-19T00:00:00"/>
    <x v="36"/>
    <x v="1"/>
    <m/>
    <x v="1"/>
    <x v="1"/>
    <n v="3"/>
    <x v="1"/>
    <n v="70"/>
    <x v="1"/>
    <s v="No"/>
  </r>
  <r>
    <s v="CUST-0100"/>
    <x v="2"/>
    <x v="0"/>
    <x v="2"/>
    <x v="2"/>
    <n v="17"/>
    <n v="676.6"/>
    <x v="4"/>
    <x v="1"/>
    <d v="2023-06-11T00:00:00"/>
    <x v="14"/>
    <x v="1"/>
    <m/>
    <x v="1"/>
    <x v="1"/>
    <n v="1"/>
    <x v="1"/>
    <n v="17"/>
    <x v="0"/>
    <s v="No"/>
  </r>
  <r>
    <s v="CUST-0101"/>
    <x v="1"/>
    <x v="0"/>
    <x v="8"/>
    <x v="3"/>
    <n v="2"/>
    <n v="33.35"/>
    <x v="0"/>
    <x v="0"/>
    <d v="2024-12-03T00:00:00"/>
    <x v="13"/>
    <x v="0"/>
    <d v="2025-01-28T00:00:00"/>
    <x v="35"/>
    <x v="5"/>
    <n v="6"/>
    <x v="0"/>
    <n v="15"/>
    <x v="0"/>
    <s v="No"/>
  </r>
  <r>
    <s v="CUST-0102"/>
    <x v="0"/>
    <x v="0"/>
    <x v="9"/>
    <x v="1"/>
    <n v="62"/>
    <n v="801.85"/>
    <x v="3"/>
    <x v="3"/>
    <d v="2023-11-03T00:00:00"/>
    <x v="9"/>
    <x v="1"/>
    <m/>
    <x v="1"/>
    <x v="1"/>
    <n v="11"/>
    <x v="2"/>
    <n v="88"/>
    <x v="3"/>
    <s v="No"/>
  </r>
  <r>
    <s v="CUST-0103"/>
    <x v="0"/>
    <x v="0"/>
    <x v="9"/>
    <x v="3"/>
    <n v="4"/>
    <n v="114.55"/>
    <x v="5"/>
    <x v="1"/>
    <d v="2024-04-24T00:00:00"/>
    <x v="42"/>
    <x v="1"/>
    <m/>
    <x v="1"/>
    <x v="1"/>
    <n v="0"/>
    <x v="4"/>
    <n v="32"/>
    <x v="2"/>
    <s v="No"/>
  </r>
  <r>
    <s v="CUST-0104"/>
    <x v="2"/>
    <x v="0"/>
    <x v="7"/>
    <x v="2"/>
    <n v="17"/>
    <n v="676.6"/>
    <x v="0"/>
    <x v="1"/>
    <d v="2024-11-30T00:00:00"/>
    <x v="43"/>
    <x v="0"/>
    <d v="2025-05-31T00:00:00"/>
    <x v="30"/>
    <x v="4"/>
    <n v="12"/>
    <x v="5"/>
    <n v="30"/>
    <x v="2"/>
    <s v="No"/>
  </r>
  <r>
    <s v="CUST-0105"/>
    <x v="0"/>
    <x v="0"/>
    <x v="3"/>
    <x v="4"/>
    <n v="42"/>
    <n v="564.85"/>
    <x v="4"/>
    <x v="3"/>
    <d v="2023-12-21T00:00:00"/>
    <x v="31"/>
    <x v="1"/>
    <m/>
    <x v="1"/>
    <x v="1"/>
    <n v="6"/>
    <x v="8"/>
    <n v="53"/>
    <x v="1"/>
    <s v="Yes"/>
  </r>
  <r>
    <s v="CUST-0106"/>
    <x v="1"/>
    <x v="0"/>
    <x v="0"/>
    <x v="3"/>
    <n v="1"/>
    <n v="29"/>
    <x v="3"/>
    <x v="2"/>
    <d v="2024-11-18T00:00:00"/>
    <x v="43"/>
    <x v="0"/>
    <d v="2025-02-24T00:00:00"/>
    <x v="32"/>
    <x v="2"/>
    <n v="4"/>
    <x v="0"/>
    <n v="20"/>
    <x v="0"/>
    <s v="No"/>
  </r>
  <r>
    <s v="CUST-0107"/>
    <x v="2"/>
    <x v="0"/>
    <x v="8"/>
    <x v="1"/>
    <n v="139"/>
    <n v="4318.3"/>
    <x v="3"/>
    <x v="1"/>
    <d v="2022-08-18T00:00:00"/>
    <x v="36"/>
    <x v="0"/>
    <d v="2024-05-09T00:00:00"/>
    <x v="8"/>
    <x v="6"/>
    <n v="11"/>
    <x v="3"/>
    <n v="24"/>
    <x v="2"/>
    <s v="No"/>
  </r>
  <r>
    <s v="CUST-0108"/>
    <x v="2"/>
    <x v="1"/>
    <x v="9"/>
    <x v="0"/>
    <n v="30"/>
    <n v="904.95"/>
    <x v="0"/>
    <x v="0"/>
    <d v="2025-08-16T00:00:00"/>
    <x v="34"/>
    <x v="1"/>
    <m/>
    <x v="1"/>
    <x v="1"/>
    <n v="11"/>
    <x v="8"/>
    <n v="48"/>
    <x v="2"/>
    <s v="No"/>
  </r>
  <r>
    <s v="CUST-0109"/>
    <x v="2"/>
    <x v="1"/>
    <x v="1"/>
    <x v="0"/>
    <n v="16"/>
    <n v="549.74"/>
    <x v="0"/>
    <x v="2"/>
    <d v="2022-11-03T00:00:00"/>
    <x v="35"/>
    <x v="1"/>
    <m/>
    <x v="1"/>
    <x v="1"/>
    <n v="0"/>
    <x v="6"/>
    <n v="57"/>
    <x v="1"/>
    <s v="No"/>
  </r>
  <r>
    <s v="CUST-0110"/>
    <x v="0"/>
    <x v="1"/>
    <x v="0"/>
    <x v="4"/>
    <n v="58"/>
    <n v="641.28"/>
    <x v="3"/>
    <x v="1"/>
    <d v="2023-10-02T00:00:00"/>
    <x v="40"/>
    <x v="0"/>
    <d v="2025-05-01T00:00:00"/>
    <x v="30"/>
    <x v="7"/>
    <n v="12"/>
    <x v="0"/>
    <n v="38"/>
    <x v="2"/>
    <s v="No"/>
  </r>
  <r>
    <s v="CUST-0111"/>
    <x v="1"/>
    <x v="1"/>
    <x v="9"/>
    <x v="2"/>
    <n v="5"/>
    <n v="39.44"/>
    <x v="2"/>
    <x v="1"/>
    <d v="2022-12-22T00:00:00"/>
    <x v="8"/>
    <x v="0"/>
    <d v="2023-11-12T00:00:00"/>
    <x v="36"/>
    <x v="3"/>
    <n v="15"/>
    <x v="8"/>
    <n v="29"/>
    <x v="2"/>
    <s v="No"/>
  </r>
  <r>
    <s v="CUST-0112"/>
    <x v="0"/>
    <x v="0"/>
    <x v="1"/>
    <x v="4"/>
    <n v="42"/>
    <n v="564.85"/>
    <x v="1"/>
    <x v="0"/>
    <d v="2022-01-27T00:00:00"/>
    <x v="37"/>
    <x v="0"/>
    <d v="2022-05-07T00:00:00"/>
    <x v="37"/>
    <x v="4"/>
    <n v="7"/>
    <x v="3"/>
    <n v="40"/>
    <x v="2"/>
    <s v="No"/>
  </r>
  <r>
    <s v="CUST-0113"/>
    <x v="2"/>
    <x v="0"/>
    <x v="9"/>
    <x v="2"/>
    <n v="20"/>
    <n v="766.15"/>
    <x v="3"/>
    <x v="0"/>
    <d v="2023-06-10T00:00:00"/>
    <x v="14"/>
    <x v="0"/>
    <d v="2023-10-31T00:00:00"/>
    <x v="31"/>
    <x v="5"/>
    <n v="3"/>
    <x v="1"/>
    <n v="22"/>
    <x v="2"/>
    <s v="No"/>
  </r>
  <r>
    <s v="CUST-0114"/>
    <x v="1"/>
    <x v="0"/>
    <x v="4"/>
    <x v="1"/>
    <n v="235"/>
    <n v="1046.9000000000001"/>
    <x v="3"/>
    <x v="2"/>
    <d v="2022-06-06T00:00:00"/>
    <x v="0"/>
    <x v="0"/>
    <d v="2022-06-19T00:00:00"/>
    <x v="38"/>
    <x v="5"/>
    <n v="11"/>
    <x v="5"/>
    <n v="23"/>
    <x v="2"/>
    <s v="No"/>
  </r>
  <r>
    <s v="CUST-0115"/>
    <x v="1"/>
    <x v="1"/>
    <x v="8"/>
    <x v="4"/>
    <n v="31"/>
    <n v="135.57"/>
    <x v="0"/>
    <x v="3"/>
    <d v="2024-08-28T00:00:00"/>
    <x v="44"/>
    <x v="1"/>
    <m/>
    <x v="1"/>
    <x v="1"/>
    <n v="0"/>
    <x v="8"/>
    <n v="75"/>
    <x v="1"/>
    <s v="No"/>
  </r>
  <r>
    <s v="CUST-0116"/>
    <x v="0"/>
    <x v="0"/>
    <x v="4"/>
    <x v="0"/>
    <n v="16"/>
    <n v="256.75"/>
    <x v="0"/>
    <x v="0"/>
    <d v="2025-09-03T00:00:00"/>
    <x v="4"/>
    <x v="1"/>
    <m/>
    <x v="1"/>
    <x v="1"/>
    <n v="0"/>
    <x v="3"/>
    <n v="25"/>
    <x v="2"/>
    <s v="No"/>
  </r>
  <r>
    <s v="CUST-0117"/>
    <x v="0"/>
    <x v="1"/>
    <x v="5"/>
    <x v="0"/>
    <n v="25"/>
    <n v="308.89"/>
    <x v="4"/>
    <x v="2"/>
    <d v="2024-03-13T00:00:00"/>
    <x v="6"/>
    <x v="0"/>
    <d v="2025-06-14T00:00:00"/>
    <x v="3"/>
    <x v="4"/>
    <n v="0"/>
    <x v="3"/>
    <n v="28"/>
    <x v="2"/>
    <s v="No"/>
  </r>
  <r>
    <s v="CUST-0118"/>
    <x v="0"/>
    <x v="0"/>
    <x v="3"/>
    <x v="2"/>
    <n v="17"/>
    <n v="268.60000000000002"/>
    <x v="2"/>
    <x v="1"/>
    <d v="2024-12-31T00:00:00"/>
    <x v="13"/>
    <x v="0"/>
    <d v="2025-03-14T00:00:00"/>
    <x v="29"/>
    <x v="6"/>
    <n v="0"/>
    <x v="8"/>
    <n v="25"/>
    <x v="2"/>
    <s v="No"/>
  </r>
  <r>
    <s v="CUST-0119"/>
    <x v="0"/>
    <x v="0"/>
    <x v="7"/>
    <x v="2"/>
    <n v="28"/>
    <n v="398.95"/>
    <x v="0"/>
    <x v="0"/>
    <d v="2022-11-01T00:00:00"/>
    <x v="35"/>
    <x v="1"/>
    <m/>
    <x v="1"/>
    <x v="1"/>
    <n v="9"/>
    <x v="7"/>
    <n v="44"/>
    <x v="2"/>
    <s v="No"/>
  </r>
  <r>
    <s v="CUST-0120"/>
    <x v="0"/>
    <x v="1"/>
    <x v="1"/>
    <x v="3"/>
    <n v="2"/>
    <n v="77.22"/>
    <x v="2"/>
    <x v="0"/>
    <d v="2022-03-26T00:00:00"/>
    <x v="32"/>
    <x v="1"/>
    <m/>
    <x v="1"/>
    <x v="1"/>
    <n v="3"/>
    <x v="1"/>
    <n v="22"/>
    <x v="2"/>
    <s v="No"/>
  </r>
  <r>
    <s v="CUST-0121"/>
    <x v="1"/>
    <x v="1"/>
    <x v="5"/>
    <x v="2"/>
    <n v="32"/>
    <n v="139.27000000000001"/>
    <x v="0"/>
    <x v="0"/>
    <d v="2025-07-18T00:00:00"/>
    <x v="20"/>
    <x v="1"/>
    <m/>
    <x v="1"/>
    <x v="1"/>
    <n v="6"/>
    <x v="3"/>
    <n v="81"/>
    <x v="3"/>
    <s v="No"/>
  </r>
  <r>
    <s v="CUST-0122"/>
    <x v="2"/>
    <x v="0"/>
    <x v="3"/>
    <x v="0"/>
    <n v="72"/>
    <n v="2318.35"/>
    <x v="4"/>
    <x v="0"/>
    <d v="2024-07-07T00:00:00"/>
    <x v="10"/>
    <x v="1"/>
    <m/>
    <x v="1"/>
    <x v="1"/>
    <n v="4"/>
    <x v="2"/>
    <n v="50"/>
    <x v="2"/>
    <s v="Yes"/>
  </r>
  <r>
    <s v="CUST-0123"/>
    <x v="1"/>
    <x v="1"/>
    <x v="6"/>
    <x v="0"/>
    <n v="26"/>
    <n v="117.09"/>
    <x v="0"/>
    <x v="2"/>
    <d v="2024-07-13T00:00:00"/>
    <x v="10"/>
    <x v="1"/>
    <m/>
    <x v="1"/>
    <x v="1"/>
    <n v="4"/>
    <x v="1"/>
    <n v="48"/>
    <x v="2"/>
    <s v="No"/>
  </r>
  <r>
    <s v="CUST-0124"/>
    <x v="0"/>
    <x v="0"/>
    <x v="8"/>
    <x v="0"/>
    <n v="71"/>
    <n v="908.5"/>
    <x v="3"/>
    <x v="0"/>
    <d v="2022-12-15T00:00:00"/>
    <x v="8"/>
    <x v="1"/>
    <m/>
    <x v="1"/>
    <x v="1"/>
    <n v="2"/>
    <x v="8"/>
    <n v="31"/>
    <x v="2"/>
    <s v="No"/>
  </r>
  <r>
    <s v="CUST-0125"/>
    <x v="2"/>
    <x v="1"/>
    <x v="8"/>
    <x v="3"/>
    <n v="4"/>
    <n v="245.27"/>
    <x v="4"/>
    <x v="1"/>
    <d v="2025-03-12T00:00:00"/>
    <x v="29"/>
    <x v="1"/>
    <m/>
    <x v="1"/>
    <x v="1"/>
    <n v="11"/>
    <x v="4"/>
    <n v="36"/>
    <x v="2"/>
    <s v="Yes"/>
  </r>
  <r>
    <s v="CUST-0126"/>
    <x v="0"/>
    <x v="0"/>
    <x v="6"/>
    <x v="2"/>
    <n v="20"/>
    <n v="304.14999999999998"/>
    <x v="0"/>
    <x v="0"/>
    <d v="2023-06-14T00:00:00"/>
    <x v="14"/>
    <x v="1"/>
    <m/>
    <x v="1"/>
    <x v="1"/>
    <n v="1"/>
    <x v="8"/>
    <n v="40"/>
    <x v="2"/>
    <s v="Yes"/>
  </r>
  <r>
    <s v="CUST-0127"/>
    <x v="1"/>
    <x v="0"/>
    <x v="9"/>
    <x v="2"/>
    <n v="27"/>
    <n v="142.1"/>
    <x v="4"/>
    <x v="0"/>
    <d v="2024-12-10T00:00:00"/>
    <x v="13"/>
    <x v="0"/>
    <d v="2025-01-15T00:00:00"/>
    <x v="35"/>
    <x v="5"/>
    <n v="3"/>
    <x v="0"/>
    <n v="38"/>
    <x v="2"/>
    <s v="No"/>
  </r>
  <r>
    <s v="CUST-0128"/>
    <x v="1"/>
    <x v="0"/>
    <x v="0"/>
    <x v="4"/>
    <n v="46"/>
    <n v="224.75"/>
    <x v="4"/>
    <x v="2"/>
    <d v="2022-12-30T00:00:00"/>
    <x v="8"/>
    <x v="0"/>
    <d v="2023-04-24T00:00:00"/>
    <x v="4"/>
    <x v="6"/>
    <n v="10"/>
    <x v="3"/>
    <n v="33"/>
    <x v="2"/>
    <s v="No"/>
  </r>
  <r>
    <s v="CUST-0129"/>
    <x v="1"/>
    <x v="0"/>
    <x v="1"/>
    <x v="0"/>
    <n v="31"/>
    <n v="159.5"/>
    <x v="3"/>
    <x v="0"/>
    <d v="2022-08-24T00:00:00"/>
    <x v="36"/>
    <x v="0"/>
    <d v="2022-09-27T00:00:00"/>
    <x v="7"/>
    <x v="7"/>
    <n v="10"/>
    <x v="1"/>
    <n v="22"/>
    <x v="2"/>
    <s v="No"/>
  </r>
  <r>
    <s v="CUST-0130"/>
    <x v="0"/>
    <x v="0"/>
    <x v="3"/>
    <x v="3"/>
    <n v="8"/>
    <n v="161.94999999999999"/>
    <x v="0"/>
    <x v="3"/>
    <d v="2025-07-04T00:00:00"/>
    <x v="20"/>
    <x v="1"/>
    <m/>
    <x v="1"/>
    <x v="1"/>
    <n v="6"/>
    <x v="5"/>
    <n v="68"/>
    <x v="1"/>
    <s v="No"/>
  </r>
  <r>
    <s v="CUST-0131"/>
    <x v="2"/>
    <x v="1"/>
    <x v="8"/>
    <x v="2"/>
    <n v="6"/>
    <n v="296.01"/>
    <x v="2"/>
    <x v="3"/>
    <d v="2025-01-02T00:00:00"/>
    <x v="25"/>
    <x v="1"/>
    <m/>
    <x v="1"/>
    <x v="1"/>
    <n v="11"/>
    <x v="6"/>
    <n v="36"/>
    <x v="2"/>
    <s v="No"/>
  </r>
  <r>
    <s v="CUST-0132"/>
    <x v="1"/>
    <x v="1"/>
    <x v="9"/>
    <x v="3"/>
    <n v="8"/>
    <n v="50.53"/>
    <x v="5"/>
    <x v="0"/>
    <d v="2025-10-20T00:00:00"/>
    <x v="39"/>
    <x v="1"/>
    <m/>
    <x v="1"/>
    <x v="1"/>
    <n v="7"/>
    <x v="0"/>
    <n v="90"/>
    <x v="3"/>
    <s v="No"/>
  </r>
  <r>
    <s v="CUST-0133"/>
    <x v="3"/>
    <x v="0"/>
    <x v="9"/>
    <x v="3"/>
    <n v="1"/>
    <n v="499"/>
    <x v="3"/>
    <x v="0"/>
    <d v="2025-03-11T00:00:00"/>
    <x v="29"/>
    <x v="1"/>
    <m/>
    <x v="1"/>
    <x v="1"/>
    <n v="7"/>
    <x v="7"/>
    <n v="22"/>
    <x v="2"/>
    <s v="No"/>
  </r>
  <r>
    <s v="CUST-0134"/>
    <x v="2"/>
    <x v="1"/>
    <x v="3"/>
    <x v="0"/>
    <n v="71"/>
    <n v="1945.22"/>
    <x v="3"/>
    <x v="3"/>
    <d v="2022-02-15T00:00:00"/>
    <x v="26"/>
    <x v="0"/>
    <d v="2025-07-10T00:00:00"/>
    <x v="20"/>
    <x v="7"/>
    <n v="11"/>
    <x v="8"/>
    <n v="31"/>
    <x v="2"/>
    <s v="No"/>
  </r>
  <r>
    <s v="CUST-0135"/>
    <x v="0"/>
    <x v="0"/>
    <x v="0"/>
    <x v="2"/>
    <n v="25"/>
    <n v="363.4"/>
    <x v="4"/>
    <x v="2"/>
    <d v="2022-08-16T00:00:00"/>
    <x v="36"/>
    <x v="1"/>
    <m/>
    <x v="1"/>
    <x v="1"/>
    <n v="5"/>
    <x v="6"/>
    <n v="85"/>
    <x v="3"/>
    <s v="No"/>
  </r>
  <r>
    <s v="CUST-0136"/>
    <x v="0"/>
    <x v="1"/>
    <x v="4"/>
    <x v="1"/>
    <n v="106"/>
    <n v="1124.76"/>
    <x v="2"/>
    <x v="0"/>
    <d v="2022-03-06T00:00:00"/>
    <x v="32"/>
    <x v="1"/>
    <m/>
    <x v="1"/>
    <x v="1"/>
    <n v="4"/>
    <x v="1"/>
    <n v="87"/>
    <x v="3"/>
    <s v="No"/>
  </r>
  <r>
    <s v="CUST-0137"/>
    <x v="1"/>
    <x v="1"/>
    <x v="2"/>
    <x v="2"/>
    <n v="9"/>
    <n v="54.23"/>
    <x v="0"/>
    <x v="0"/>
    <d v="2023-05-07T00:00:00"/>
    <x v="24"/>
    <x v="0"/>
    <d v="2024-02-16T00:00:00"/>
    <x v="18"/>
    <x v="2"/>
    <n v="4"/>
    <x v="3"/>
    <n v="41"/>
    <x v="2"/>
    <s v="No"/>
  </r>
  <r>
    <s v="CUST-0138"/>
    <x v="1"/>
    <x v="0"/>
    <x v="6"/>
    <x v="2"/>
    <n v="21"/>
    <n v="116"/>
    <x v="1"/>
    <x v="1"/>
    <d v="2022-08-01T00:00:00"/>
    <x v="36"/>
    <x v="0"/>
    <d v="2022-09-08T00:00:00"/>
    <x v="7"/>
    <x v="0"/>
    <n v="1"/>
    <x v="0"/>
    <n v="19"/>
    <x v="0"/>
    <s v="No"/>
  </r>
  <r>
    <s v="CUST-0139"/>
    <x v="1"/>
    <x v="0"/>
    <x v="1"/>
    <x v="2"/>
    <n v="5"/>
    <n v="46.4"/>
    <x v="3"/>
    <x v="0"/>
    <d v="2025-01-06T00:00:00"/>
    <x v="25"/>
    <x v="0"/>
    <d v="2025-12-19T00:00:00"/>
    <x v="34"/>
    <x v="4"/>
    <n v="7"/>
    <x v="0"/>
    <n v="22"/>
    <x v="2"/>
    <s v="No"/>
  </r>
  <r>
    <s v="CUST-0140"/>
    <x v="1"/>
    <x v="0"/>
    <x v="0"/>
    <x v="4"/>
    <n v="131"/>
    <n v="594.5"/>
    <x v="2"/>
    <x v="0"/>
    <d v="2022-02-21T00:00:00"/>
    <x v="26"/>
    <x v="0"/>
    <d v="2022-07-22T00:00:00"/>
    <x v="14"/>
    <x v="5"/>
    <n v="9"/>
    <x v="0"/>
    <n v="16"/>
    <x v="0"/>
    <s v="No"/>
  </r>
  <r>
    <s v="CUST-0141"/>
    <x v="2"/>
    <x v="1"/>
    <x v="8"/>
    <x v="0"/>
    <n v="18"/>
    <n v="600.48"/>
    <x v="4"/>
    <x v="0"/>
    <d v="2024-03-17T00:00:00"/>
    <x v="6"/>
    <x v="1"/>
    <m/>
    <x v="1"/>
    <x v="1"/>
    <n v="8"/>
    <x v="1"/>
    <n v="33"/>
    <x v="2"/>
    <s v="No"/>
  </r>
  <r>
    <s v="CUST-0142"/>
    <x v="1"/>
    <x v="1"/>
    <x v="7"/>
    <x v="0"/>
    <n v="28"/>
    <n v="124.48"/>
    <x v="5"/>
    <x v="0"/>
    <d v="2024-08-30T00:00:00"/>
    <x v="44"/>
    <x v="1"/>
    <m/>
    <x v="1"/>
    <x v="1"/>
    <n v="8"/>
    <x v="0"/>
    <n v="32"/>
    <x v="2"/>
    <s v="No"/>
  </r>
  <r>
    <s v="CUST-0143"/>
    <x v="2"/>
    <x v="1"/>
    <x v="1"/>
    <x v="3"/>
    <n v="7"/>
    <n v="321.38"/>
    <x v="0"/>
    <x v="0"/>
    <d v="2025-09-28T00:00:00"/>
    <x v="4"/>
    <x v="1"/>
    <m/>
    <x v="1"/>
    <x v="1"/>
    <n v="12"/>
    <x v="5"/>
    <n v="43"/>
    <x v="2"/>
    <s v="No"/>
  </r>
  <r>
    <s v="CUST-0144"/>
    <x v="1"/>
    <x v="0"/>
    <x v="2"/>
    <x v="3"/>
    <n v="6"/>
    <n v="50.75"/>
    <x v="0"/>
    <x v="0"/>
    <d v="2023-04-02T00:00:00"/>
    <x v="23"/>
    <x v="0"/>
    <d v="2023-07-22T00:00:00"/>
    <x v="39"/>
    <x v="7"/>
    <n v="3"/>
    <x v="5"/>
    <n v="44"/>
    <x v="2"/>
    <s v="No"/>
  </r>
  <r>
    <s v="CUST-0145"/>
    <x v="0"/>
    <x v="1"/>
    <x v="1"/>
    <x v="2"/>
    <n v="8"/>
    <n v="137.66"/>
    <x v="1"/>
    <x v="0"/>
    <d v="2023-12-17T00:00:00"/>
    <x v="31"/>
    <x v="0"/>
    <d v="2024-11-17T00:00:00"/>
    <x v="15"/>
    <x v="2"/>
    <n v="3"/>
    <x v="0"/>
    <n v="30"/>
    <x v="2"/>
    <s v="No"/>
  </r>
  <r>
    <s v="CUST-0146"/>
    <x v="3"/>
    <x v="0"/>
    <x v="8"/>
    <x v="2"/>
    <n v="15"/>
    <n v="1546.9"/>
    <x v="0"/>
    <x v="0"/>
    <d v="2022-06-27T00:00:00"/>
    <x v="0"/>
    <x v="1"/>
    <m/>
    <x v="1"/>
    <x v="1"/>
    <n v="1"/>
    <x v="8"/>
    <n v="61"/>
    <x v="1"/>
    <s v="No"/>
  </r>
  <r>
    <s v="CUST-0147"/>
    <x v="1"/>
    <x v="1"/>
    <x v="3"/>
    <x v="3"/>
    <n v="6"/>
    <n v="43.14"/>
    <x v="4"/>
    <x v="0"/>
    <d v="2023-10-05T00:00:00"/>
    <x v="40"/>
    <x v="0"/>
    <d v="2023-11-21T00:00:00"/>
    <x v="36"/>
    <x v="0"/>
    <n v="5"/>
    <x v="0"/>
    <n v="15"/>
    <x v="0"/>
    <s v="No"/>
  </r>
  <r>
    <s v="CUST-0148"/>
    <x v="3"/>
    <x v="0"/>
    <x v="5"/>
    <x v="0"/>
    <n v="73"/>
    <n v="5888.2"/>
    <x v="0"/>
    <x v="1"/>
    <d v="2025-02-26T00:00:00"/>
    <x v="45"/>
    <x v="1"/>
    <m/>
    <x v="1"/>
    <x v="1"/>
    <n v="5"/>
    <x v="3"/>
    <n v="54"/>
    <x v="1"/>
    <s v="No"/>
  </r>
  <r>
    <s v="CUST-0149"/>
    <x v="0"/>
    <x v="0"/>
    <x v="3"/>
    <x v="3"/>
    <n v="1"/>
    <n v="79"/>
    <x v="1"/>
    <x v="0"/>
    <d v="2025-07-28T00:00:00"/>
    <x v="20"/>
    <x v="1"/>
    <m/>
    <x v="1"/>
    <x v="1"/>
    <n v="11"/>
    <x v="4"/>
    <n v="74"/>
    <x v="1"/>
    <s v="No"/>
  </r>
  <r>
    <s v="CUST-0150"/>
    <x v="0"/>
    <x v="0"/>
    <x v="3"/>
    <x v="2"/>
    <n v="26"/>
    <n v="375.25"/>
    <x v="0"/>
    <x v="3"/>
    <d v="2023-07-02T00:00:00"/>
    <x v="28"/>
    <x v="0"/>
    <d v="2024-02-24T00:00:00"/>
    <x v="18"/>
    <x v="0"/>
    <n v="13"/>
    <x v="5"/>
    <n v="29"/>
    <x v="2"/>
    <s v="No"/>
  </r>
  <r>
    <s v="CUST-0151"/>
    <x v="1"/>
    <x v="0"/>
    <x v="0"/>
    <x v="3"/>
    <n v="5"/>
    <n v="46.4"/>
    <x v="5"/>
    <x v="0"/>
    <d v="2024-05-26T00:00:00"/>
    <x v="22"/>
    <x v="0"/>
    <d v="2024-12-06T00:00:00"/>
    <x v="10"/>
    <x v="6"/>
    <n v="7"/>
    <x v="8"/>
    <n v="15"/>
    <x v="0"/>
    <s v="No"/>
  </r>
  <r>
    <s v="CUST-0152"/>
    <x v="2"/>
    <x v="1"/>
    <x v="0"/>
    <x v="1"/>
    <n v="199"/>
    <n v="5192.8999999999996"/>
    <x v="2"/>
    <x v="0"/>
    <d v="2023-06-09T00:00:00"/>
    <x v="14"/>
    <x v="0"/>
    <d v="2024-08-22T00:00:00"/>
    <x v="40"/>
    <x v="2"/>
    <n v="4"/>
    <x v="8"/>
    <n v="36"/>
    <x v="2"/>
    <s v="No"/>
  </r>
  <r>
    <s v="CUST-0153"/>
    <x v="1"/>
    <x v="0"/>
    <x v="0"/>
    <x v="3"/>
    <n v="6"/>
    <n v="50.75"/>
    <x v="2"/>
    <x v="0"/>
    <d v="2025-05-09T00:00:00"/>
    <x v="18"/>
    <x v="0"/>
    <d v="2025-11-30T00:00:00"/>
    <x v="22"/>
    <x v="4"/>
    <n v="8"/>
    <x v="1"/>
    <n v="18"/>
    <x v="0"/>
    <s v="No"/>
  </r>
  <r>
    <s v="CUST-0154"/>
    <x v="0"/>
    <x v="1"/>
    <x v="8"/>
    <x v="3"/>
    <n v="1"/>
    <n v="67.150000000000006"/>
    <x v="2"/>
    <x v="1"/>
    <d v="2024-08-11T00:00:00"/>
    <x v="44"/>
    <x v="0"/>
    <d v="2025-02-26T00:00:00"/>
    <x v="32"/>
    <x v="2"/>
    <n v="1"/>
    <x v="8"/>
    <n v="14"/>
    <x v="0"/>
    <s v="No"/>
  </r>
  <r>
    <s v="CUST-0155"/>
    <x v="1"/>
    <x v="0"/>
    <x v="9"/>
    <x v="1"/>
    <n v="230"/>
    <n v="1025.1500000000001"/>
    <x v="3"/>
    <x v="2"/>
    <d v="2022-10-14T00:00:00"/>
    <x v="33"/>
    <x v="0"/>
    <d v="2024-04-03T00:00:00"/>
    <x v="12"/>
    <x v="0"/>
    <n v="6"/>
    <x v="3"/>
    <n v="35"/>
    <x v="2"/>
    <s v="No"/>
  </r>
  <r>
    <s v="CUST-0156"/>
    <x v="2"/>
    <x v="0"/>
    <x v="6"/>
    <x v="2"/>
    <n v="7"/>
    <n v="378.1"/>
    <x v="0"/>
    <x v="0"/>
    <d v="2024-09-20T00:00:00"/>
    <x v="46"/>
    <x v="1"/>
    <m/>
    <x v="1"/>
    <x v="1"/>
    <n v="4"/>
    <x v="8"/>
    <n v="83"/>
    <x v="3"/>
    <s v="No"/>
  </r>
  <r>
    <s v="CUST-0157"/>
    <x v="0"/>
    <x v="1"/>
    <x v="7"/>
    <x v="3"/>
    <n v="5"/>
    <n v="107.44"/>
    <x v="1"/>
    <x v="1"/>
    <d v="2023-08-06T00:00:00"/>
    <x v="15"/>
    <x v="1"/>
    <m/>
    <x v="1"/>
    <x v="1"/>
    <n v="9"/>
    <x v="3"/>
    <n v="80"/>
    <x v="1"/>
    <s v="No"/>
  </r>
  <r>
    <s v="CUST-0158"/>
    <x v="3"/>
    <x v="0"/>
    <x v="4"/>
    <x v="2"/>
    <n v="20"/>
    <n v="1921.15"/>
    <x v="0"/>
    <x v="3"/>
    <d v="2023-04-18T00:00:00"/>
    <x v="23"/>
    <x v="1"/>
    <m/>
    <x v="1"/>
    <x v="1"/>
    <n v="6"/>
    <x v="3"/>
    <n v="35"/>
    <x v="2"/>
    <s v="No"/>
  </r>
  <r>
    <s v="CUST-0159"/>
    <x v="1"/>
    <x v="1"/>
    <x v="3"/>
    <x v="0"/>
    <n v="66"/>
    <n v="264.99"/>
    <x v="3"/>
    <x v="2"/>
    <d v="2025-10-25T00:00:00"/>
    <x v="39"/>
    <x v="1"/>
    <m/>
    <x v="1"/>
    <x v="1"/>
    <n v="8"/>
    <x v="7"/>
    <n v="30"/>
    <x v="2"/>
    <s v="No"/>
  </r>
  <r>
    <s v="CUST-0160"/>
    <x v="0"/>
    <x v="1"/>
    <x v="8"/>
    <x v="0"/>
    <n v="71"/>
    <n v="772.22"/>
    <x v="0"/>
    <x v="2"/>
    <d v="2025-01-07T00:00:00"/>
    <x v="25"/>
    <x v="1"/>
    <m/>
    <x v="1"/>
    <x v="1"/>
    <n v="9"/>
    <x v="8"/>
    <n v="93"/>
    <x v="3"/>
    <s v="No"/>
  </r>
  <r>
    <s v="CUST-0161"/>
    <x v="2"/>
    <x v="1"/>
    <x v="7"/>
    <x v="3"/>
    <n v="4"/>
    <n v="245.27"/>
    <x v="2"/>
    <x v="1"/>
    <d v="2024-12-11T00:00:00"/>
    <x v="13"/>
    <x v="0"/>
    <d v="2025-04-19T00:00:00"/>
    <x v="2"/>
    <x v="0"/>
    <n v="0"/>
    <x v="4"/>
    <n v="28"/>
    <x v="2"/>
    <s v="No"/>
  </r>
  <r>
    <s v="CUST-0162"/>
    <x v="1"/>
    <x v="0"/>
    <x v="1"/>
    <x v="1"/>
    <n v="150"/>
    <n v="677.15"/>
    <x v="4"/>
    <x v="1"/>
    <d v="2022-08-09T00:00:00"/>
    <x v="36"/>
    <x v="0"/>
    <d v="2023-11-26T00:00:00"/>
    <x v="36"/>
    <x v="4"/>
    <n v="0"/>
    <x v="0"/>
    <n v="44"/>
    <x v="2"/>
    <s v="No"/>
  </r>
  <r>
    <s v="CUST-0163"/>
    <x v="1"/>
    <x v="1"/>
    <x v="3"/>
    <x v="3"/>
    <n v="2"/>
    <n v="28.35"/>
    <x v="4"/>
    <x v="2"/>
    <d v="2025-01-28T00:00:00"/>
    <x v="25"/>
    <x v="1"/>
    <m/>
    <x v="1"/>
    <x v="1"/>
    <n v="3"/>
    <x v="7"/>
    <n v="20"/>
    <x v="0"/>
    <s v="No"/>
  </r>
  <r>
    <s v="CUST-0164"/>
    <x v="1"/>
    <x v="1"/>
    <x v="6"/>
    <x v="1"/>
    <n v="220"/>
    <n v="834.4"/>
    <x v="0"/>
    <x v="1"/>
    <d v="2023-08-19T00:00:00"/>
    <x v="15"/>
    <x v="0"/>
    <d v="2025-06-11T00:00:00"/>
    <x v="3"/>
    <x v="3"/>
    <n v="4"/>
    <x v="0"/>
    <n v="12"/>
    <x v="0"/>
    <s v="No"/>
  </r>
  <r>
    <s v="CUST-0165"/>
    <x v="1"/>
    <x v="1"/>
    <x v="2"/>
    <x v="4"/>
    <n v="34"/>
    <n v="146.66999999999999"/>
    <x v="0"/>
    <x v="2"/>
    <d v="2024-07-15T00:00:00"/>
    <x v="10"/>
    <x v="1"/>
    <m/>
    <x v="1"/>
    <x v="1"/>
    <n v="12"/>
    <x v="8"/>
    <n v="60"/>
    <x v="1"/>
    <s v="No"/>
  </r>
  <r>
    <s v="CUST-0166"/>
    <x v="1"/>
    <x v="0"/>
    <x v="6"/>
    <x v="3"/>
    <n v="1"/>
    <n v="29"/>
    <x v="5"/>
    <x v="1"/>
    <d v="2023-09-18T00:00:00"/>
    <x v="5"/>
    <x v="0"/>
    <d v="2025-01-25T00:00:00"/>
    <x v="35"/>
    <x v="6"/>
    <n v="7"/>
    <x v="8"/>
    <n v="20"/>
    <x v="0"/>
    <s v="No"/>
  </r>
  <r>
    <s v="CUST-0167"/>
    <x v="1"/>
    <x v="1"/>
    <x v="8"/>
    <x v="0"/>
    <n v="40"/>
    <n v="168.85"/>
    <x v="0"/>
    <x v="0"/>
    <d v="2024-12-24T00:00:00"/>
    <x v="13"/>
    <x v="1"/>
    <m/>
    <x v="1"/>
    <x v="1"/>
    <n v="10"/>
    <x v="4"/>
    <n v="35"/>
    <x v="2"/>
    <s v="No"/>
  </r>
  <r>
    <s v="CUST-0168"/>
    <x v="2"/>
    <x v="0"/>
    <x v="8"/>
    <x v="2"/>
    <n v="29"/>
    <n v="1034.8"/>
    <x v="2"/>
    <x v="1"/>
    <d v="2023-04-05T00:00:00"/>
    <x v="23"/>
    <x v="0"/>
    <d v="2023-04-29T00:00:00"/>
    <x v="4"/>
    <x v="6"/>
    <n v="12"/>
    <x v="4"/>
    <n v="45"/>
    <x v="2"/>
    <s v="No"/>
  </r>
  <r>
    <s v="CUST-0169"/>
    <x v="2"/>
    <x v="1"/>
    <x v="9"/>
    <x v="2"/>
    <n v="5"/>
    <n v="270.64"/>
    <x v="4"/>
    <x v="0"/>
    <d v="2023-12-06T00:00:00"/>
    <x v="31"/>
    <x v="1"/>
    <m/>
    <x v="1"/>
    <x v="1"/>
    <n v="0"/>
    <x v="5"/>
    <n v="55"/>
    <x v="1"/>
    <s v="Yes"/>
  </r>
  <r>
    <s v="CUST-0170"/>
    <x v="2"/>
    <x v="0"/>
    <x v="5"/>
    <x v="2"/>
    <n v="32"/>
    <n v="1124.3499999999999"/>
    <x v="5"/>
    <x v="2"/>
    <d v="2024-10-17T00:00:00"/>
    <x v="2"/>
    <x v="1"/>
    <m/>
    <x v="1"/>
    <x v="1"/>
    <n v="1"/>
    <x v="5"/>
    <n v="91"/>
    <x v="3"/>
    <s v="No"/>
  </r>
  <r>
    <s v="CUST-0171"/>
    <x v="1"/>
    <x v="0"/>
    <x v="1"/>
    <x v="3"/>
    <n v="7"/>
    <n v="55.1"/>
    <x v="0"/>
    <x v="1"/>
    <d v="2022-09-18T00:00:00"/>
    <x v="30"/>
    <x v="0"/>
    <d v="2023-07-31T00:00:00"/>
    <x v="39"/>
    <x v="4"/>
    <n v="3"/>
    <x v="3"/>
    <n v="24"/>
    <x v="2"/>
    <s v="No"/>
  </r>
  <r>
    <s v="CUST-0172"/>
    <x v="2"/>
    <x v="0"/>
    <x v="6"/>
    <x v="3"/>
    <n v="5"/>
    <n v="318.39999999999998"/>
    <x v="3"/>
    <x v="0"/>
    <d v="2022-07-10T00:00:00"/>
    <x v="16"/>
    <x v="0"/>
    <d v="2024-05-08T00:00:00"/>
    <x v="8"/>
    <x v="6"/>
    <n v="14"/>
    <x v="0"/>
    <n v="38"/>
    <x v="2"/>
    <s v="No"/>
  </r>
  <r>
    <s v="CUST-0173"/>
    <x v="0"/>
    <x v="1"/>
    <x v="5"/>
    <x v="3"/>
    <n v="6"/>
    <n v="117.51"/>
    <x v="5"/>
    <x v="2"/>
    <d v="2024-09-14T00:00:00"/>
    <x v="46"/>
    <x v="1"/>
    <m/>
    <x v="1"/>
    <x v="1"/>
    <n v="12"/>
    <x v="6"/>
    <n v="38"/>
    <x v="2"/>
    <s v="No"/>
  </r>
  <r>
    <s v="CUST-0174"/>
    <x v="3"/>
    <x v="1"/>
    <x v="7"/>
    <x v="4"/>
    <n v="65"/>
    <n v="4495.99"/>
    <x v="4"/>
    <x v="0"/>
    <d v="2024-11-30T00:00:00"/>
    <x v="43"/>
    <x v="1"/>
    <m/>
    <x v="1"/>
    <x v="1"/>
    <n v="10"/>
    <x v="3"/>
    <n v="91"/>
    <x v="3"/>
    <s v="No"/>
  </r>
  <r>
    <s v="CUST-0175"/>
    <x v="2"/>
    <x v="1"/>
    <x v="9"/>
    <x v="0"/>
    <n v="50"/>
    <n v="1412.4"/>
    <x v="1"/>
    <x v="0"/>
    <d v="2022-10-11T00:00:00"/>
    <x v="33"/>
    <x v="1"/>
    <m/>
    <x v="1"/>
    <x v="1"/>
    <n v="12"/>
    <x v="7"/>
    <n v="26"/>
    <x v="2"/>
    <s v="No"/>
  </r>
  <r>
    <s v="CUST-0176"/>
    <x v="1"/>
    <x v="0"/>
    <x v="5"/>
    <x v="1"/>
    <n v="205"/>
    <n v="916.4"/>
    <x v="5"/>
    <x v="0"/>
    <d v="2023-08-06T00:00:00"/>
    <x v="15"/>
    <x v="0"/>
    <d v="2023-09-11T00:00:00"/>
    <x v="33"/>
    <x v="4"/>
    <n v="7"/>
    <x v="0"/>
    <n v="19"/>
    <x v="0"/>
    <s v="No"/>
  </r>
  <r>
    <s v="CUST-0177"/>
    <x v="0"/>
    <x v="0"/>
    <x v="4"/>
    <x v="1"/>
    <n v="239"/>
    <n v="2899.3"/>
    <x v="2"/>
    <x v="2"/>
    <d v="2024-12-06T00:00:00"/>
    <x v="13"/>
    <x v="0"/>
    <d v="2025-11-09T00:00:00"/>
    <x v="22"/>
    <x v="2"/>
    <n v="4"/>
    <x v="4"/>
    <n v="14"/>
    <x v="0"/>
    <s v="No"/>
  </r>
  <r>
    <s v="CUST-0178"/>
    <x v="0"/>
    <x v="1"/>
    <x v="3"/>
    <x v="2"/>
    <n v="31"/>
    <n v="369.33"/>
    <x v="1"/>
    <x v="2"/>
    <d v="2024-09-11T00:00:00"/>
    <x v="46"/>
    <x v="1"/>
    <m/>
    <x v="1"/>
    <x v="1"/>
    <n v="4"/>
    <x v="4"/>
    <n v="81"/>
    <x v="3"/>
    <s v="No"/>
  </r>
  <r>
    <s v="CUST-0179"/>
    <x v="1"/>
    <x v="0"/>
    <x v="9"/>
    <x v="0"/>
    <n v="67"/>
    <n v="316.10000000000002"/>
    <x v="3"/>
    <x v="1"/>
    <d v="2024-06-25T00:00:00"/>
    <x v="19"/>
    <x v="1"/>
    <m/>
    <x v="1"/>
    <x v="1"/>
    <n v="3"/>
    <x v="9"/>
    <n v="26"/>
    <x v="2"/>
    <s v="No"/>
  </r>
  <r>
    <s v="CUST-0180"/>
    <x v="0"/>
    <x v="1"/>
    <x v="2"/>
    <x v="0"/>
    <n v="29"/>
    <n v="349.18"/>
    <x v="3"/>
    <x v="0"/>
    <d v="2022-10-12T00:00:00"/>
    <x v="33"/>
    <x v="0"/>
    <d v="2025-03-25T00:00:00"/>
    <x v="29"/>
    <x v="4"/>
    <n v="2"/>
    <x v="8"/>
    <n v="42"/>
    <x v="2"/>
    <s v="No"/>
  </r>
  <r>
    <s v="CUST-0181"/>
    <x v="0"/>
    <x v="0"/>
    <x v="7"/>
    <x v="3"/>
    <n v="4"/>
    <n v="114.55"/>
    <x v="4"/>
    <x v="0"/>
    <d v="2024-02-08T00:00:00"/>
    <x v="17"/>
    <x v="0"/>
    <d v="2024-04-23T00:00:00"/>
    <x v="12"/>
    <x v="0"/>
    <n v="9"/>
    <x v="1"/>
    <n v="44"/>
    <x v="2"/>
    <s v="No"/>
  </r>
  <r>
    <s v="CUST-0182"/>
    <x v="0"/>
    <x v="1"/>
    <x v="2"/>
    <x v="0"/>
    <n v="76"/>
    <n v="822.59"/>
    <x v="2"/>
    <x v="1"/>
    <d v="2024-05-02T00:00:00"/>
    <x v="22"/>
    <x v="1"/>
    <m/>
    <x v="1"/>
    <x v="1"/>
    <n v="9"/>
    <x v="4"/>
    <n v="37"/>
    <x v="2"/>
    <s v="No"/>
  </r>
  <r>
    <s v="CUST-0183"/>
    <x v="1"/>
    <x v="1"/>
    <x v="7"/>
    <x v="4"/>
    <n v="83"/>
    <n v="327.84"/>
    <x v="2"/>
    <x v="0"/>
    <d v="2023-10-01T00:00:00"/>
    <x v="40"/>
    <x v="0"/>
    <d v="2025-01-06T00:00:00"/>
    <x v="35"/>
    <x v="4"/>
    <n v="8"/>
    <x v="1"/>
    <n v="26"/>
    <x v="2"/>
    <s v="No"/>
  </r>
  <r>
    <s v="CUST-0184"/>
    <x v="1"/>
    <x v="0"/>
    <x v="3"/>
    <x v="3"/>
    <n v="7"/>
    <n v="55.1"/>
    <x v="2"/>
    <x v="1"/>
    <d v="2024-11-20T00:00:00"/>
    <x v="43"/>
    <x v="1"/>
    <m/>
    <x v="1"/>
    <x v="1"/>
    <n v="8"/>
    <x v="3"/>
    <n v="63"/>
    <x v="1"/>
    <s v="No"/>
  </r>
  <r>
    <s v="CUST-0185"/>
    <x v="0"/>
    <x v="1"/>
    <x v="5"/>
    <x v="4"/>
    <n v="96"/>
    <n v="1024.04"/>
    <x v="3"/>
    <x v="0"/>
    <d v="2025-11-17T00:00:00"/>
    <x v="41"/>
    <x v="1"/>
    <m/>
    <x v="1"/>
    <x v="1"/>
    <n v="3"/>
    <x v="7"/>
    <n v="48"/>
    <x v="2"/>
    <s v="No"/>
  </r>
  <r>
    <s v="CUST-0186"/>
    <x v="2"/>
    <x v="0"/>
    <x v="1"/>
    <x v="3"/>
    <n v="6"/>
    <n v="348.25"/>
    <x v="2"/>
    <x v="2"/>
    <d v="2025-06-25T00:00:00"/>
    <x v="47"/>
    <x v="0"/>
    <d v="2025-11-28T00:00:00"/>
    <x v="22"/>
    <x v="4"/>
    <n v="3"/>
    <x v="3"/>
    <n v="17"/>
    <x v="0"/>
    <s v="No"/>
  </r>
  <r>
    <s v="CUST-0187"/>
    <x v="0"/>
    <x v="0"/>
    <x v="7"/>
    <x v="3"/>
    <n v="4"/>
    <n v="114.55"/>
    <x v="4"/>
    <x v="2"/>
    <d v="2024-09-10T00:00:00"/>
    <x v="46"/>
    <x v="0"/>
    <d v="2024-11-30T00:00:00"/>
    <x v="15"/>
    <x v="0"/>
    <n v="9"/>
    <x v="0"/>
    <n v="24"/>
    <x v="2"/>
    <s v="No"/>
  </r>
  <r>
    <s v="CUST-0188"/>
    <x v="2"/>
    <x v="0"/>
    <x v="6"/>
    <x v="2"/>
    <n v="28"/>
    <n v="1004.95"/>
    <x v="3"/>
    <x v="2"/>
    <d v="2022-08-11T00:00:00"/>
    <x v="36"/>
    <x v="0"/>
    <d v="2024-12-24T00:00:00"/>
    <x v="10"/>
    <x v="3"/>
    <n v="13"/>
    <x v="1"/>
    <n v="15"/>
    <x v="0"/>
    <s v="No"/>
  </r>
  <r>
    <s v="CUST-0189"/>
    <x v="1"/>
    <x v="0"/>
    <x v="9"/>
    <x v="4"/>
    <n v="141"/>
    <n v="638"/>
    <x v="1"/>
    <x v="0"/>
    <d v="2025-09-11T00:00:00"/>
    <x v="4"/>
    <x v="1"/>
    <m/>
    <x v="1"/>
    <x v="1"/>
    <n v="11"/>
    <x v="1"/>
    <n v="88"/>
    <x v="3"/>
    <s v="No"/>
  </r>
  <r>
    <s v="CUST-0190"/>
    <x v="0"/>
    <x v="0"/>
    <x v="9"/>
    <x v="0"/>
    <n v="70"/>
    <n v="896.65"/>
    <x v="5"/>
    <x v="0"/>
    <d v="2023-07-10T00:00:00"/>
    <x v="28"/>
    <x v="1"/>
    <m/>
    <x v="1"/>
    <x v="1"/>
    <n v="7"/>
    <x v="9"/>
    <n v="63"/>
    <x v="1"/>
    <s v="No"/>
  </r>
  <r>
    <s v="CUST-0191"/>
    <x v="1"/>
    <x v="0"/>
    <x v="5"/>
    <x v="2"/>
    <n v="30"/>
    <n v="155.15"/>
    <x v="2"/>
    <x v="0"/>
    <d v="2022-12-21T00:00:00"/>
    <x v="8"/>
    <x v="0"/>
    <d v="2023-01-25T00:00:00"/>
    <x v="9"/>
    <x v="6"/>
    <n v="15"/>
    <x v="3"/>
    <n v="23"/>
    <x v="2"/>
    <s v="No"/>
  </r>
  <r>
    <s v="CUST-0192"/>
    <x v="2"/>
    <x v="0"/>
    <x v="2"/>
    <x v="0"/>
    <n v="74"/>
    <n v="2378.0500000000002"/>
    <x v="5"/>
    <x v="0"/>
    <d v="2022-03-16T00:00:00"/>
    <x v="32"/>
    <x v="1"/>
    <m/>
    <x v="1"/>
    <x v="1"/>
    <n v="8"/>
    <x v="9"/>
    <n v="46"/>
    <x v="2"/>
    <s v="Yes"/>
  </r>
  <r>
    <s v="CUST-0193"/>
    <x v="3"/>
    <x v="0"/>
    <x v="0"/>
    <x v="2"/>
    <n v="33"/>
    <n v="2894.2"/>
    <x v="5"/>
    <x v="0"/>
    <d v="2024-09-18T00:00:00"/>
    <x v="46"/>
    <x v="1"/>
    <m/>
    <x v="1"/>
    <x v="1"/>
    <n v="0"/>
    <x v="5"/>
    <n v="43"/>
    <x v="2"/>
    <s v="Yes"/>
  </r>
  <r>
    <s v="CUST-0194"/>
    <x v="1"/>
    <x v="1"/>
    <x v="1"/>
    <x v="1"/>
    <n v="225"/>
    <n v="852.89"/>
    <x v="3"/>
    <x v="1"/>
    <d v="2023-02-27T00:00:00"/>
    <x v="38"/>
    <x v="1"/>
    <m/>
    <x v="1"/>
    <x v="1"/>
    <n v="6"/>
    <x v="6"/>
    <n v="50"/>
    <x v="2"/>
    <s v="Yes"/>
  </r>
  <r>
    <s v="CUST-0195"/>
    <x v="1"/>
    <x v="1"/>
    <x v="7"/>
    <x v="3"/>
    <n v="3"/>
    <n v="32.049999999999997"/>
    <x v="4"/>
    <x v="0"/>
    <d v="2023-10-21T00:00:00"/>
    <x v="40"/>
    <x v="0"/>
    <d v="2024-07-19T00:00:00"/>
    <x v="13"/>
    <x v="4"/>
    <n v="4"/>
    <x v="8"/>
    <n v="33"/>
    <x v="2"/>
    <s v="No"/>
  </r>
  <r>
    <s v="CUST-0196"/>
    <x v="0"/>
    <x v="1"/>
    <x v="5"/>
    <x v="2"/>
    <n v="20"/>
    <n v="258.52999999999997"/>
    <x v="4"/>
    <x v="1"/>
    <d v="2025-03-06T00:00:00"/>
    <x v="29"/>
    <x v="1"/>
    <m/>
    <x v="1"/>
    <x v="1"/>
    <n v="6"/>
    <x v="2"/>
    <n v="95"/>
    <x v="3"/>
    <s v="No"/>
  </r>
  <r>
    <s v="CUST-0197"/>
    <x v="3"/>
    <x v="0"/>
    <x v="9"/>
    <x v="3"/>
    <n v="1"/>
    <n v="499"/>
    <x v="0"/>
    <x v="2"/>
    <d v="2022-03-25T00:00:00"/>
    <x v="32"/>
    <x v="1"/>
    <m/>
    <x v="1"/>
    <x v="1"/>
    <n v="8"/>
    <x v="2"/>
    <n v="32"/>
    <x v="2"/>
    <s v="No"/>
  </r>
  <r>
    <s v="CUST-0198"/>
    <x v="1"/>
    <x v="0"/>
    <x v="6"/>
    <x v="0"/>
    <n v="21"/>
    <n v="116"/>
    <x v="3"/>
    <x v="1"/>
    <d v="2023-04-19T00:00:00"/>
    <x v="23"/>
    <x v="0"/>
    <d v="2025-01-15T00:00:00"/>
    <x v="35"/>
    <x v="7"/>
    <n v="0"/>
    <x v="5"/>
    <n v="15"/>
    <x v="0"/>
    <s v="No"/>
  </r>
  <r>
    <s v="CUST-0199"/>
    <x v="0"/>
    <x v="1"/>
    <x v="8"/>
    <x v="3"/>
    <n v="4"/>
    <n v="97.37"/>
    <x v="4"/>
    <x v="0"/>
    <d v="2025-03-03T00:00:00"/>
    <x v="29"/>
    <x v="1"/>
    <m/>
    <x v="1"/>
    <x v="1"/>
    <n v="2"/>
    <x v="1"/>
    <n v="36"/>
    <x v="2"/>
    <s v="No"/>
  </r>
  <r>
    <s v="CUST-0200"/>
    <x v="0"/>
    <x v="1"/>
    <x v="7"/>
    <x v="4"/>
    <n v="35"/>
    <n v="409.62"/>
    <x v="0"/>
    <x v="0"/>
    <d v="2022-10-24T00:00:00"/>
    <x v="33"/>
    <x v="0"/>
    <d v="2024-11-02T00:00:00"/>
    <x v="15"/>
    <x v="7"/>
    <n v="15"/>
    <x v="5"/>
    <n v="21"/>
    <x v="2"/>
    <s v="No"/>
  </r>
  <r>
    <s v="CUST-0201"/>
    <x v="1"/>
    <x v="0"/>
    <x v="5"/>
    <x v="2"/>
    <n v="13"/>
    <n v="81.2"/>
    <x v="2"/>
    <x v="1"/>
    <d v="2023-06-28T00:00:00"/>
    <x v="14"/>
    <x v="0"/>
    <d v="2024-10-13T00:00:00"/>
    <x v="25"/>
    <x v="4"/>
    <n v="15"/>
    <x v="5"/>
    <n v="44"/>
    <x v="2"/>
    <s v="No"/>
  </r>
  <r>
    <s v="CUST-0202"/>
    <x v="1"/>
    <x v="0"/>
    <x v="8"/>
    <x v="2"/>
    <n v="30"/>
    <n v="155.15"/>
    <x v="2"/>
    <x v="3"/>
    <d v="2023-10-06T00:00:00"/>
    <x v="40"/>
    <x v="0"/>
    <d v="2023-11-04T00:00:00"/>
    <x v="36"/>
    <x v="0"/>
    <n v="3"/>
    <x v="5"/>
    <n v="25"/>
    <x v="2"/>
    <s v="No"/>
  </r>
  <r>
    <s v="CUST-0203"/>
    <x v="2"/>
    <x v="0"/>
    <x v="9"/>
    <x v="3"/>
    <n v="8"/>
    <n v="407.95"/>
    <x v="1"/>
    <x v="3"/>
    <d v="2023-07-30T00:00:00"/>
    <x v="28"/>
    <x v="0"/>
    <d v="2025-04-06T00:00:00"/>
    <x v="2"/>
    <x v="4"/>
    <n v="1"/>
    <x v="8"/>
    <n v="12"/>
    <x v="0"/>
    <s v="No"/>
  </r>
  <r>
    <s v="CUST-0204"/>
    <x v="1"/>
    <x v="0"/>
    <x v="7"/>
    <x v="0"/>
    <n v="64"/>
    <n v="303.05"/>
    <x v="2"/>
    <x v="0"/>
    <d v="2024-05-19T00:00:00"/>
    <x v="22"/>
    <x v="0"/>
    <d v="2024-07-20T00:00:00"/>
    <x v="13"/>
    <x v="2"/>
    <n v="11"/>
    <x v="5"/>
    <n v="49"/>
    <x v="2"/>
    <s v="No"/>
  </r>
  <r>
    <s v="CUST-0205"/>
    <x v="2"/>
    <x v="1"/>
    <x v="6"/>
    <x v="0"/>
    <n v="67"/>
    <n v="1843.73"/>
    <x v="0"/>
    <x v="1"/>
    <d v="2023-12-17T00:00:00"/>
    <x v="31"/>
    <x v="1"/>
    <m/>
    <x v="1"/>
    <x v="1"/>
    <n v="12"/>
    <x v="5"/>
    <n v="85"/>
    <x v="3"/>
    <s v="Yes"/>
  </r>
  <r>
    <s v="CUST-0206"/>
    <x v="1"/>
    <x v="0"/>
    <x v="6"/>
    <x v="4"/>
    <n v="72"/>
    <n v="337.85"/>
    <x v="0"/>
    <x v="1"/>
    <d v="2024-03-23T00:00:00"/>
    <x v="6"/>
    <x v="0"/>
    <d v="2024-07-02T00:00:00"/>
    <x v="13"/>
    <x v="3"/>
    <n v="5"/>
    <x v="4"/>
    <n v="33"/>
    <x v="2"/>
    <s v="No"/>
  </r>
  <r>
    <s v="CUST-0207"/>
    <x v="2"/>
    <x v="0"/>
    <x v="2"/>
    <x v="3"/>
    <n v="1"/>
    <n v="199"/>
    <x v="2"/>
    <x v="0"/>
    <d v="2023-04-02T00:00:00"/>
    <x v="23"/>
    <x v="0"/>
    <d v="2023-12-15T00:00:00"/>
    <x v="5"/>
    <x v="6"/>
    <n v="12"/>
    <x v="3"/>
    <n v="16"/>
    <x v="0"/>
    <s v="No"/>
  </r>
  <r>
    <s v="CUST-0208"/>
    <x v="1"/>
    <x v="0"/>
    <x v="9"/>
    <x v="2"/>
    <n v="5"/>
    <n v="46.4"/>
    <x v="3"/>
    <x v="0"/>
    <d v="2025-01-19T00:00:00"/>
    <x v="25"/>
    <x v="0"/>
    <d v="2025-07-03T00:00:00"/>
    <x v="20"/>
    <x v="7"/>
    <n v="8"/>
    <x v="1"/>
    <n v="21"/>
    <x v="2"/>
    <s v="No"/>
  </r>
  <r>
    <s v="CUST-0209"/>
    <x v="1"/>
    <x v="1"/>
    <x v="6"/>
    <x v="0"/>
    <n v="46"/>
    <n v="191.04"/>
    <x v="5"/>
    <x v="1"/>
    <d v="2022-05-05T00:00:00"/>
    <x v="11"/>
    <x v="0"/>
    <d v="2022-07-30T00:00:00"/>
    <x v="14"/>
    <x v="5"/>
    <n v="2"/>
    <x v="5"/>
    <n v="13"/>
    <x v="0"/>
    <s v="No"/>
  </r>
  <r>
    <s v="CUST-0210"/>
    <x v="3"/>
    <x v="0"/>
    <x v="6"/>
    <x v="0"/>
    <n v="72"/>
    <n v="5813.35"/>
    <x v="5"/>
    <x v="0"/>
    <d v="2022-09-22T00:00:00"/>
    <x v="30"/>
    <x v="0"/>
    <d v="2025-05-26T00:00:00"/>
    <x v="30"/>
    <x v="0"/>
    <n v="13"/>
    <x v="5"/>
    <n v="17"/>
    <x v="0"/>
    <s v="No"/>
  </r>
  <r>
    <s v="CUST-0211"/>
    <x v="3"/>
    <x v="1"/>
    <x v="7"/>
    <x v="4"/>
    <n v="48"/>
    <n v="3414.41"/>
    <x v="4"/>
    <x v="0"/>
    <d v="2025-06-30T00:00:00"/>
    <x v="47"/>
    <x v="1"/>
    <m/>
    <x v="1"/>
    <x v="1"/>
    <n v="12"/>
    <x v="3"/>
    <n v="23"/>
    <x v="2"/>
    <s v="No"/>
  </r>
  <r>
    <s v="CUST-0212"/>
    <x v="2"/>
    <x v="1"/>
    <x v="0"/>
    <x v="3"/>
    <n v="1"/>
    <n v="169.15"/>
    <x v="2"/>
    <x v="0"/>
    <d v="2024-01-08T00:00:00"/>
    <x v="12"/>
    <x v="1"/>
    <m/>
    <x v="1"/>
    <x v="1"/>
    <n v="1"/>
    <x v="4"/>
    <n v="60"/>
    <x v="1"/>
    <s v="No"/>
  </r>
  <r>
    <s v="CUST-0213"/>
    <x v="2"/>
    <x v="1"/>
    <x v="3"/>
    <x v="1"/>
    <n v="209"/>
    <n v="5446.63"/>
    <x v="2"/>
    <x v="0"/>
    <d v="2023-05-20T00:00:00"/>
    <x v="24"/>
    <x v="1"/>
    <m/>
    <x v="1"/>
    <x v="1"/>
    <n v="4"/>
    <x v="3"/>
    <n v="31"/>
    <x v="2"/>
    <s v="No"/>
  </r>
  <r>
    <s v="CUST-0214"/>
    <x v="1"/>
    <x v="0"/>
    <x v="8"/>
    <x v="2"/>
    <n v="17"/>
    <n v="98.6"/>
    <x v="3"/>
    <x v="0"/>
    <d v="2024-09-23T00:00:00"/>
    <x v="46"/>
    <x v="0"/>
    <d v="2025-08-11T00:00:00"/>
    <x v="23"/>
    <x v="6"/>
    <n v="4"/>
    <x v="1"/>
    <n v="10"/>
    <x v="0"/>
    <s v="No"/>
  </r>
  <r>
    <s v="CUST-0215"/>
    <x v="1"/>
    <x v="0"/>
    <x v="9"/>
    <x v="2"/>
    <n v="21"/>
    <n v="116"/>
    <x v="1"/>
    <x v="2"/>
    <d v="2025-01-09T00:00:00"/>
    <x v="25"/>
    <x v="0"/>
    <d v="2025-06-29T00:00:00"/>
    <x v="3"/>
    <x v="3"/>
    <n v="15"/>
    <x v="8"/>
    <n v="27"/>
    <x v="2"/>
    <s v="No"/>
  </r>
  <r>
    <s v="CUST-0216"/>
    <x v="1"/>
    <x v="0"/>
    <x v="1"/>
    <x v="2"/>
    <n v="15"/>
    <n v="89.9"/>
    <x v="0"/>
    <x v="0"/>
    <d v="2024-07-20T00:00:00"/>
    <x v="10"/>
    <x v="0"/>
    <d v="2024-09-16T00:00:00"/>
    <x v="21"/>
    <x v="2"/>
    <n v="11"/>
    <x v="1"/>
    <n v="20"/>
    <x v="0"/>
    <s v="No"/>
  </r>
  <r>
    <s v="CUST-0217"/>
    <x v="0"/>
    <x v="0"/>
    <x v="6"/>
    <x v="0"/>
    <n v="46"/>
    <n v="612.25"/>
    <x v="2"/>
    <x v="0"/>
    <d v="2024-04-05T00:00:00"/>
    <x v="42"/>
    <x v="1"/>
    <m/>
    <x v="1"/>
    <x v="1"/>
    <n v="3"/>
    <x v="2"/>
    <n v="39"/>
    <x v="2"/>
    <s v="No"/>
  </r>
  <r>
    <s v="CUST-0218"/>
    <x v="1"/>
    <x v="0"/>
    <x v="1"/>
    <x v="0"/>
    <n v="22"/>
    <n v="120.35"/>
    <x v="1"/>
    <x v="0"/>
    <d v="2022-10-15T00:00:00"/>
    <x v="33"/>
    <x v="0"/>
    <d v="2024-01-25T00:00:00"/>
    <x v="28"/>
    <x v="5"/>
    <n v="3"/>
    <x v="0"/>
    <n v="27"/>
    <x v="2"/>
    <s v="No"/>
  </r>
  <r>
    <s v="CUST-0219"/>
    <x v="1"/>
    <x v="1"/>
    <x v="3"/>
    <x v="3"/>
    <n v="8"/>
    <n v="50.53"/>
    <x v="0"/>
    <x v="0"/>
    <d v="2023-08-22T00:00:00"/>
    <x v="15"/>
    <x v="1"/>
    <m/>
    <x v="1"/>
    <x v="1"/>
    <n v="6"/>
    <x v="7"/>
    <n v="32"/>
    <x v="2"/>
    <s v="No"/>
  </r>
  <r>
    <s v="CUST-0220"/>
    <x v="0"/>
    <x v="0"/>
    <x v="7"/>
    <x v="3"/>
    <n v="1"/>
    <n v="79"/>
    <x v="5"/>
    <x v="0"/>
    <d v="2023-09-26T00:00:00"/>
    <x v="5"/>
    <x v="0"/>
    <d v="2025-05-11T00:00:00"/>
    <x v="30"/>
    <x v="0"/>
    <n v="9"/>
    <x v="8"/>
    <n v="44"/>
    <x v="2"/>
    <s v="No"/>
  </r>
  <r>
    <s v="CUST-0221"/>
    <x v="2"/>
    <x v="1"/>
    <x v="2"/>
    <x v="3"/>
    <n v="3"/>
    <n v="219.9"/>
    <x v="0"/>
    <x v="0"/>
    <d v="2025-06-28T00:00:00"/>
    <x v="47"/>
    <x v="1"/>
    <m/>
    <x v="1"/>
    <x v="1"/>
    <n v="7"/>
    <x v="7"/>
    <n v="43"/>
    <x v="2"/>
    <s v="No"/>
  </r>
  <r>
    <s v="CUST-0222"/>
    <x v="0"/>
    <x v="0"/>
    <x v="5"/>
    <x v="0"/>
    <n v="47"/>
    <n v="624.1"/>
    <x v="3"/>
    <x v="1"/>
    <d v="2024-10-03T00:00:00"/>
    <x v="2"/>
    <x v="1"/>
    <m/>
    <x v="1"/>
    <x v="1"/>
    <n v="6"/>
    <x v="7"/>
    <n v="63"/>
    <x v="1"/>
    <s v="Yes"/>
  </r>
  <r>
    <s v="CUST-0223"/>
    <x v="1"/>
    <x v="0"/>
    <x v="3"/>
    <x v="4"/>
    <n v="68"/>
    <n v="320.45"/>
    <x v="4"/>
    <x v="0"/>
    <d v="2025-04-01T00:00:00"/>
    <x v="7"/>
    <x v="0"/>
    <d v="2025-10-19T00:00:00"/>
    <x v="41"/>
    <x v="3"/>
    <n v="9"/>
    <x v="1"/>
    <n v="42"/>
    <x v="2"/>
    <s v="No"/>
  </r>
  <r>
    <s v="CUST-0224"/>
    <x v="3"/>
    <x v="1"/>
    <x v="6"/>
    <x v="0"/>
    <n v="72"/>
    <n v="4941.3500000000004"/>
    <x v="5"/>
    <x v="3"/>
    <d v="2025-02-01T00:00:00"/>
    <x v="45"/>
    <x v="0"/>
    <d v="2025-02-13T00:00:00"/>
    <x v="32"/>
    <x v="7"/>
    <n v="0"/>
    <x v="5"/>
    <n v="11"/>
    <x v="0"/>
    <s v="No"/>
  </r>
  <r>
    <s v="CUST-0225"/>
    <x v="0"/>
    <x v="1"/>
    <x v="9"/>
    <x v="2"/>
    <n v="27"/>
    <n v="329.03"/>
    <x v="0"/>
    <x v="0"/>
    <d v="2025-11-17T00:00:00"/>
    <x v="41"/>
    <x v="1"/>
    <m/>
    <x v="1"/>
    <x v="1"/>
    <n v="7"/>
    <x v="1"/>
    <n v="39"/>
    <x v="2"/>
    <s v="No"/>
  </r>
  <r>
    <s v="CUST-0226"/>
    <x v="0"/>
    <x v="0"/>
    <x v="0"/>
    <x v="0"/>
    <n v="64"/>
    <n v="825.55"/>
    <x v="0"/>
    <x v="1"/>
    <d v="2025-04-18T00:00:00"/>
    <x v="7"/>
    <x v="1"/>
    <m/>
    <x v="1"/>
    <x v="1"/>
    <n v="10"/>
    <x v="1"/>
    <n v="87"/>
    <x v="3"/>
    <s v="No"/>
  </r>
  <r>
    <s v="CUST-0227"/>
    <x v="1"/>
    <x v="0"/>
    <x v="0"/>
    <x v="3"/>
    <n v="6"/>
    <n v="50.75"/>
    <x v="3"/>
    <x v="1"/>
    <d v="2024-09-10T00:00:00"/>
    <x v="46"/>
    <x v="0"/>
    <d v="2024-10-27T00:00:00"/>
    <x v="25"/>
    <x v="7"/>
    <n v="5"/>
    <x v="0"/>
    <n v="39"/>
    <x v="2"/>
    <s v="No"/>
  </r>
  <r>
    <s v="CUST-0228"/>
    <x v="1"/>
    <x v="1"/>
    <x v="9"/>
    <x v="2"/>
    <n v="10"/>
    <n v="57.93"/>
    <x v="0"/>
    <x v="1"/>
    <d v="2024-01-12T00:00:00"/>
    <x v="12"/>
    <x v="1"/>
    <m/>
    <x v="1"/>
    <x v="1"/>
    <n v="8"/>
    <x v="4"/>
    <n v="46"/>
    <x v="2"/>
    <s v="Yes"/>
  </r>
  <r>
    <s v="CUST-0229"/>
    <x v="3"/>
    <x v="0"/>
    <x v="3"/>
    <x v="4"/>
    <n v="118"/>
    <n v="9256.4500000000007"/>
    <x v="0"/>
    <x v="1"/>
    <d v="2024-04-06T00:00:00"/>
    <x v="42"/>
    <x v="1"/>
    <m/>
    <x v="1"/>
    <x v="1"/>
    <n v="0"/>
    <x v="9"/>
    <n v="85"/>
    <x v="3"/>
    <s v="No"/>
  </r>
  <r>
    <s v="CUST-0230"/>
    <x v="1"/>
    <x v="0"/>
    <x v="1"/>
    <x v="2"/>
    <n v="24"/>
    <n v="129.05000000000001"/>
    <x v="3"/>
    <x v="0"/>
    <d v="2023-06-10T00:00:00"/>
    <x v="14"/>
    <x v="0"/>
    <d v="2023-10-22T00:00:00"/>
    <x v="31"/>
    <x v="3"/>
    <n v="13"/>
    <x v="5"/>
    <n v="31"/>
    <x v="2"/>
    <s v="No"/>
  </r>
  <r>
    <s v="CUST-0231"/>
    <x v="1"/>
    <x v="0"/>
    <x v="7"/>
    <x v="0"/>
    <n v="33"/>
    <n v="168.2"/>
    <x v="1"/>
    <x v="0"/>
    <d v="2023-11-16T00:00:00"/>
    <x v="9"/>
    <x v="1"/>
    <m/>
    <x v="1"/>
    <x v="1"/>
    <n v="4"/>
    <x v="6"/>
    <n v="52"/>
    <x v="1"/>
    <s v="No"/>
  </r>
  <r>
    <s v="CUST-0232"/>
    <x v="0"/>
    <x v="0"/>
    <x v="0"/>
    <x v="0"/>
    <n v="44"/>
    <n v="588.54999999999995"/>
    <x v="0"/>
    <x v="1"/>
    <d v="2025-06-09T00:00:00"/>
    <x v="47"/>
    <x v="1"/>
    <m/>
    <x v="1"/>
    <x v="1"/>
    <n v="9"/>
    <x v="8"/>
    <n v="71"/>
    <x v="1"/>
    <s v="No"/>
  </r>
  <r>
    <s v="CUST-0233"/>
    <x v="0"/>
    <x v="0"/>
    <x v="2"/>
    <x v="4"/>
    <n v="112"/>
    <n v="1394.35"/>
    <x v="2"/>
    <x v="0"/>
    <d v="2025-02-07T00:00:00"/>
    <x v="45"/>
    <x v="1"/>
    <m/>
    <x v="1"/>
    <x v="1"/>
    <n v="0"/>
    <x v="7"/>
    <n v="17"/>
    <x v="0"/>
    <s v="No"/>
  </r>
  <r>
    <s v="CUST-0234"/>
    <x v="2"/>
    <x v="0"/>
    <x v="9"/>
    <x v="0"/>
    <n v="55"/>
    <n v="1810.9"/>
    <x v="4"/>
    <x v="0"/>
    <d v="2024-04-03T00:00:00"/>
    <x v="42"/>
    <x v="0"/>
    <d v="2024-12-04T00:00:00"/>
    <x v="10"/>
    <x v="2"/>
    <n v="2"/>
    <x v="3"/>
    <n v="15"/>
    <x v="0"/>
    <s v="No"/>
  </r>
  <r>
    <s v="CUST-0235"/>
    <x v="2"/>
    <x v="1"/>
    <x v="9"/>
    <x v="2"/>
    <n v="15"/>
    <n v="524.37"/>
    <x v="4"/>
    <x v="0"/>
    <d v="2024-05-09T00:00:00"/>
    <x v="22"/>
    <x v="1"/>
    <m/>
    <x v="1"/>
    <x v="1"/>
    <n v="6"/>
    <x v="6"/>
    <n v="23"/>
    <x v="2"/>
    <s v="Yes"/>
  </r>
  <r>
    <s v="CUST-0236"/>
    <x v="1"/>
    <x v="0"/>
    <x v="5"/>
    <x v="4"/>
    <n v="45"/>
    <n v="220.4"/>
    <x v="4"/>
    <x v="1"/>
    <d v="2023-07-10T00:00:00"/>
    <x v="28"/>
    <x v="0"/>
    <d v="2023-07-12T00:00:00"/>
    <x v="39"/>
    <x v="5"/>
    <n v="7"/>
    <x v="0"/>
    <n v="49"/>
    <x v="2"/>
    <s v="No"/>
  </r>
  <r>
    <s v="CUST-0237"/>
    <x v="0"/>
    <x v="0"/>
    <x v="9"/>
    <x v="1"/>
    <n v="109"/>
    <n v="1358.8"/>
    <x v="1"/>
    <x v="1"/>
    <d v="2022-08-15T00:00:00"/>
    <x v="36"/>
    <x v="1"/>
    <m/>
    <x v="1"/>
    <x v="1"/>
    <n v="0"/>
    <x v="0"/>
    <n v="30"/>
    <x v="2"/>
    <s v="No"/>
  </r>
  <r>
    <s v="CUST-0238"/>
    <x v="2"/>
    <x v="0"/>
    <x v="2"/>
    <x v="0"/>
    <n v="29"/>
    <n v="1034.8"/>
    <x v="3"/>
    <x v="0"/>
    <d v="2023-04-29T00:00:00"/>
    <x v="23"/>
    <x v="1"/>
    <m/>
    <x v="1"/>
    <x v="1"/>
    <n v="12"/>
    <x v="5"/>
    <n v="86"/>
    <x v="3"/>
    <s v="No"/>
  </r>
  <r>
    <s v="CUST-0239"/>
    <x v="2"/>
    <x v="0"/>
    <x v="5"/>
    <x v="2"/>
    <n v="34"/>
    <n v="1184.05"/>
    <x v="2"/>
    <x v="3"/>
    <d v="2022-04-16T00:00:00"/>
    <x v="27"/>
    <x v="0"/>
    <d v="2023-07-02T00:00:00"/>
    <x v="39"/>
    <x v="7"/>
    <n v="8"/>
    <x v="0"/>
    <n v="24"/>
    <x v="2"/>
    <s v="No"/>
  </r>
  <r>
    <s v="CUST-0240"/>
    <x v="1"/>
    <x v="1"/>
    <x v="8"/>
    <x v="3"/>
    <n v="4"/>
    <n v="35.74"/>
    <x v="5"/>
    <x v="2"/>
    <d v="2025-02-15T00:00:00"/>
    <x v="45"/>
    <x v="1"/>
    <m/>
    <x v="1"/>
    <x v="1"/>
    <n v="6"/>
    <x v="3"/>
    <n v="23"/>
    <x v="2"/>
    <s v="No"/>
  </r>
  <r>
    <s v="CUST-0241"/>
    <x v="1"/>
    <x v="0"/>
    <x v="4"/>
    <x v="0"/>
    <n v="66"/>
    <n v="311.75"/>
    <x v="3"/>
    <x v="2"/>
    <d v="2023-09-09T00:00:00"/>
    <x v="5"/>
    <x v="0"/>
    <d v="2023-10-29T00:00:00"/>
    <x v="31"/>
    <x v="4"/>
    <n v="1"/>
    <x v="1"/>
    <n v="15"/>
    <x v="0"/>
    <s v="No"/>
  </r>
  <r>
    <s v="CUST-0242"/>
    <x v="2"/>
    <x v="1"/>
    <x v="3"/>
    <x v="2"/>
    <n v="10"/>
    <n v="397.5"/>
    <x v="4"/>
    <x v="2"/>
    <d v="2023-11-02T00:00:00"/>
    <x v="9"/>
    <x v="1"/>
    <m/>
    <x v="1"/>
    <x v="1"/>
    <n v="1"/>
    <x v="7"/>
    <n v="38"/>
    <x v="2"/>
    <s v="No"/>
  </r>
  <r>
    <s v="CUST-0243"/>
    <x v="3"/>
    <x v="0"/>
    <x v="0"/>
    <x v="4"/>
    <n v="122"/>
    <n v="9555.85"/>
    <x v="0"/>
    <x v="0"/>
    <d v="2024-10-07T00:00:00"/>
    <x v="2"/>
    <x v="1"/>
    <m/>
    <x v="1"/>
    <x v="1"/>
    <n v="4"/>
    <x v="2"/>
    <n v="94"/>
    <x v="3"/>
    <s v="Yes"/>
  </r>
  <r>
    <s v="CUST-0244"/>
    <x v="1"/>
    <x v="0"/>
    <x v="4"/>
    <x v="0"/>
    <n v="23"/>
    <n v="124.7"/>
    <x v="4"/>
    <x v="1"/>
    <d v="2025-04-21T00:00:00"/>
    <x v="7"/>
    <x v="0"/>
    <d v="2025-05-07T00:00:00"/>
    <x v="30"/>
    <x v="2"/>
    <n v="7"/>
    <x v="4"/>
    <n v="18"/>
    <x v="0"/>
    <s v="No"/>
  </r>
  <r>
    <s v="CUST-0245"/>
    <x v="2"/>
    <x v="1"/>
    <x v="3"/>
    <x v="3"/>
    <n v="1"/>
    <n v="169.15"/>
    <x v="0"/>
    <x v="0"/>
    <d v="2025-11-28T00:00:00"/>
    <x v="41"/>
    <x v="1"/>
    <m/>
    <x v="1"/>
    <x v="1"/>
    <n v="5"/>
    <x v="0"/>
    <n v="39"/>
    <x v="2"/>
    <s v="No"/>
  </r>
  <r>
    <s v="CUST-0246"/>
    <x v="0"/>
    <x v="0"/>
    <x v="9"/>
    <x v="3"/>
    <n v="6"/>
    <n v="138.25"/>
    <x v="3"/>
    <x v="1"/>
    <d v="2024-04-15T00:00:00"/>
    <x v="42"/>
    <x v="0"/>
    <d v="2024-06-23T00:00:00"/>
    <x v="19"/>
    <x v="7"/>
    <n v="5"/>
    <x v="1"/>
    <n v="14"/>
    <x v="0"/>
    <s v="No"/>
  </r>
  <r>
    <s v="CUST-0247"/>
    <x v="2"/>
    <x v="1"/>
    <x v="5"/>
    <x v="1"/>
    <n v="251"/>
    <n v="6512.27"/>
    <x v="5"/>
    <x v="3"/>
    <d v="2025-11-07T00:00:00"/>
    <x v="41"/>
    <x v="1"/>
    <m/>
    <x v="1"/>
    <x v="1"/>
    <n v="10"/>
    <x v="4"/>
    <n v="38"/>
    <x v="2"/>
    <s v="No"/>
  </r>
  <r>
    <s v="CUST-0248"/>
    <x v="1"/>
    <x v="1"/>
    <x v="6"/>
    <x v="4"/>
    <n v="111"/>
    <n v="431.37"/>
    <x v="1"/>
    <x v="1"/>
    <d v="2024-03-22T00:00:00"/>
    <x v="6"/>
    <x v="0"/>
    <d v="2024-11-18T00:00:00"/>
    <x v="15"/>
    <x v="5"/>
    <n v="5"/>
    <x v="5"/>
    <n v="36"/>
    <x v="2"/>
    <s v="No"/>
  </r>
  <r>
    <s v="CUST-0249"/>
    <x v="0"/>
    <x v="0"/>
    <x v="1"/>
    <x v="3"/>
    <n v="6"/>
    <n v="138.25"/>
    <x v="1"/>
    <x v="0"/>
    <d v="2025-04-18T00:00:00"/>
    <x v="7"/>
    <x v="0"/>
    <d v="2025-10-15T00:00:00"/>
    <x v="41"/>
    <x v="2"/>
    <n v="5"/>
    <x v="0"/>
    <n v="36"/>
    <x v="2"/>
    <s v="No"/>
  </r>
  <r>
    <s v="CUST-0250"/>
    <x v="2"/>
    <x v="0"/>
    <x v="7"/>
    <x v="3"/>
    <n v="1"/>
    <n v="199"/>
    <x v="3"/>
    <x v="0"/>
    <d v="2025-10-14T00:00:00"/>
    <x v="39"/>
    <x v="1"/>
    <m/>
    <x v="1"/>
    <x v="1"/>
    <n v="1"/>
    <x v="9"/>
    <n v="69"/>
    <x v="1"/>
    <s v="No"/>
  </r>
  <r>
    <s v="CUST-0251"/>
    <x v="1"/>
    <x v="1"/>
    <x v="8"/>
    <x v="2"/>
    <n v="31"/>
    <n v="135.57"/>
    <x v="2"/>
    <x v="1"/>
    <d v="2022-09-28T00:00:00"/>
    <x v="30"/>
    <x v="0"/>
    <d v="2025-01-12T00:00:00"/>
    <x v="35"/>
    <x v="0"/>
    <n v="0"/>
    <x v="4"/>
    <n v="40"/>
    <x v="2"/>
    <s v="No"/>
  </r>
  <r>
    <s v="CUST-0252"/>
    <x v="2"/>
    <x v="1"/>
    <x v="8"/>
    <x v="2"/>
    <n v="19"/>
    <n v="625.86"/>
    <x v="5"/>
    <x v="0"/>
    <d v="2024-05-12T00:00:00"/>
    <x v="22"/>
    <x v="0"/>
    <d v="2025-10-19T00:00:00"/>
    <x v="41"/>
    <x v="2"/>
    <n v="15"/>
    <x v="3"/>
    <n v="47"/>
    <x v="2"/>
    <s v="No"/>
  </r>
  <r>
    <s v="CUST-0253"/>
    <x v="0"/>
    <x v="0"/>
    <x v="8"/>
    <x v="2"/>
    <n v="32"/>
    <n v="446.35"/>
    <x v="0"/>
    <x v="0"/>
    <d v="2022-11-29T00:00:00"/>
    <x v="35"/>
    <x v="0"/>
    <d v="2024-01-13T00:00:00"/>
    <x v="28"/>
    <x v="5"/>
    <n v="7"/>
    <x v="5"/>
    <n v="20"/>
    <x v="0"/>
    <s v="No"/>
  </r>
  <r>
    <s v="CUST-0254"/>
    <x v="1"/>
    <x v="1"/>
    <x v="5"/>
    <x v="2"/>
    <n v="12"/>
    <n v="65.319999999999993"/>
    <x v="0"/>
    <x v="1"/>
    <d v="2025-05-18T00:00:00"/>
    <x v="18"/>
    <x v="1"/>
    <m/>
    <x v="1"/>
    <x v="1"/>
    <n v="0"/>
    <x v="6"/>
    <n v="50"/>
    <x v="2"/>
    <s v="Yes"/>
  </r>
  <r>
    <s v="CUST-0255"/>
    <x v="2"/>
    <x v="0"/>
    <x v="2"/>
    <x v="3"/>
    <n v="1"/>
    <n v="199"/>
    <x v="0"/>
    <x v="1"/>
    <d v="2022-03-25T00:00:00"/>
    <x v="32"/>
    <x v="0"/>
    <d v="2022-04-20T00:00:00"/>
    <x v="42"/>
    <x v="4"/>
    <n v="14"/>
    <x v="8"/>
    <n v="28"/>
    <x v="2"/>
    <s v="No"/>
  </r>
  <r>
    <s v="CUST-0256"/>
    <x v="2"/>
    <x v="0"/>
    <x v="7"/>
    <x v="2"/>
    <n v="7"/>
    <n v="378.1"/>
    <x v="0"/>
    <x v="0"/>
    <d v="2023-03-07T00:00:00"/>
    <x v="1"/>
    <x v="1"/>
    <m/>
    <x v="1"/>
    <x v="1"/>
    <n v="10"/>
    <x v="9"/>
    <n v="58"/>
    <x v="1"/>
    <s v="Yes"/>
  </r>
  <r>
    <s v="CUST-0257"/>
    <x v="1"/>
    <x v="1"/>
    <x v="0"/>
    <x v="1"/>
    <n v="285"/>
    <n v="1074.74"/>
    <x v="5"/>
    <x v="0"/>
    <d v="2024-09-27T00:00:00"/>
    <x v="46"/>
    <x v="1"/>
    <m/>
    <x v="1"/>
    <x v="1"/>
    <n v="2"/>
    <x v="6"/>
    <n v="91"/>
    <x v="3"/>
    <s v="Yes"/>
  </r>
  <r>
    <s v="CUST-0258"/>
    <x v="1"/>
    <x v="1"/>
    <x v="2"/>
    <x v="0"/>
    <n v="31"/>
    <n v="135.57"/>
    <x v="3"/>
    <x v="1"/>
    <d v="2022-04-19T00:00:00"/>
    <x v="27"/>
    <x v="0"/>
    <d v="2024-04-18T00:00:00"/>
    <x v="12"/>
    <x v="6"/>
    <n v="4"/>
    <x v="8"/>
    <n v="36"/>
    <x v="2"/>
    <s v="No"/>
  </r>
  <r>
    <s v="CUST-0259"/>
    <x v="0"/>
    <x v="1"/>
    <x v="5"/>
    <x v="4"/>
    <n v="143"/>
    <n v="1497.45"/>
    <x v="2"/>
    <x v="2"/>
    <d v="2025-07-02T00:00:00"/>
    <x v="20"/>
    <x v="1"/>
    <m/>
    <x v="1"/>
    <x v="1"/>
    <n v="3"/>
    <x v="5"/>
    <n v="84"/>
    <x v="3"/>
    <s v="No"/>
  </r>
  <r>
    <s v="CUST-0260"/>
    <x v="0"/>
    <x v="0"/>
    <x v="2"/>
    <x v="1"/>
    <n v="193"/>
    <n v="2354.1999999999998"/>
    <x v="0"/>
    <x v="0"/>
    <d v="2023-07-30T00:00:00"/>
    <x v="28"/>
    <x v="0"/>
    <d v="2025-02-05T00:00:00"/>
    <x v="32"/>
    <x v="3"/>
    <n v="3"/>
    <x v="0"/>
    <n v="39"/>
    <x v="2"/>
    <s v="No"/>
  </r>
  <r>
    <s v="CUST-0261"/>
    <x v="0"/>
    <x v="1"/>
    <x v="8"/>
    <x v="3"/>
    <n v="5"/>
    <n v="107.44"/>
    <x v="0"/>
    <x v="0"/>
    <d v="2024-09-08T00:00:00"/>
    <x v="46"/>
    <x v="1"/>
    <m/>
    <x v="1"/>
    <x v="1"/>
    <n v="1"/>
    <x v="6"/>
    <n v="95"/>
    <x v="3"/>
    <s v="No"/>
  </r>
  <r>
    <s v="CUST-0262"/>
    <x v="2"/>
    <x v="0"/>
    <x v="3"/>
    <x v="3"/>
    <n v="8"/>
    <n v="407.95"/>
    <x v="2"/>
    <x v="0"/>
    <d v="2024-02-05T00:00:00"/>
    <x v="17"/>
    <x v="0"/>
    <d v="2025-05-14T00:00:00"/>
    <x v="30"/>
    <x v="4"/>
    <n v="14"/>
    <x v="4"/>
    <n v="19"/>
    <x v="0"/>
    <s v="No"/>
  </r>
  <r>
    <s v="CUST-0263"/>
    <x v="2"/>
    <x v="1"/>
    <x v="6"/>
    <x v="2"/>
    <n v="8"/>
    <n v="346.76"/>
    <x v="2"/>
    <x v="1"/>
    <d v="2025-08-08T00:00:00"/>
    <x v="34"/>
    <x v="1"/>
    <m/>
    <x v="1"/>
    <x v="1"/>
    <n v="3"/>
    <x v="4"/>
    <n v="43"/>
    <x v="2"/>
    <s v="No"/>
  </r>
  <r>
    <s v="CUST-0264"/>
    <x v="1"/>
    <x v="0"/>
    <x v="5"/>
    <x v="0"/>
    <n v="52"/>
    <n v="250.85"/>
    <x v="0"/>
    <x v="0"/>
    <d v="2025-02-14T00:00:00"/>
    <x v="45"/>
    <x v="1"/>
    <m/>
    <x v="1"/>
    <x v="1"/>
    <n v="2"/>
    <x v="2"/>
    <n v="42"/>
    <x v="2"/>
    <s v="No"/>
  </r>
  <r>
    <s v="CUST-0265"/>
    <x v="0"/>
    <x v="0"/>
    <x v="3"/>
    <x v="0"/>
    <n v="45"/>
    <n v="600.4"/>
    <x v="4"/>
    <x v="0"/>
    <d v="2025-03-22T00:00:00"/>
    <x v="29"/>
    <x v="1"/>
    <m/>
    <x v="1"/>
    <x v="1"/>
    <n v="11"/>
    <x v="5"/>
    <n v="56"/>
    <x v="1"/>
    <s v="No"/>
  </r>
  <r>
    <s v="CUST-0266"/>
    <x v="1"/>
    <x v="1"/>
    <x v="0"/>
    <x v="2"/>
    <n v="22"/>
    <n v="102.3"/>
    <x v="3"/>
    <x v="0"/>
    <d v="2022-04-14T00:00:00"/>
    <x v="27"/>
    <x v="0"/>
    <d v="2022-07-08T00:00:00"/>
    <x v="14"/>
    <x v="4"/>
    <n v="5"/>
    <x v="1"/>
    <n v="20"/>
    <x v="0"/>
    <s v="No"/>
  </r>
  <r>
    <s v="CUST-0267"/>
    <x v="3"/>
    <x v="0"/>
    <x v="9"/>
    <x v="3"/>
    <n v="3"/>
    <n v="648.70000000000005"/>
    <x v="4"/>
    <x v="2"/>
    <d v="2023-05-07T00:00:00"/>
    <x v="24"/>
    <x v="1"/>
    <m/>
    <x v="1"/>
    <x v="1"/>
    <n v="3"/>
    <x v="5"/>
    <n v="41"/>
    <x v="2"/>
    <s v="No"/>
  </r>
  <r>
    <s v="CUST-0268"/>
    <x v="0"/>
    <x v="1"/>
    <x v="0"/>
    <x v="4"/>
    <n v="49"/>
    <n v="550.63"/>
    <x v="0"/>
    <x v="0"/>
    <d v="2022-09-26T00:00:00"/>
    <x v="30"/>
    <x v="1"/>
    <m/>
    <x v="1"/>
    <x v="1"/>
    <n v="12"/>
    <x v="2"/>
    <n v="46"/>
    <x v="2"/>
    <s v="No"/>
  </r>
  <r>
    <s v="CUST-0269"/>
    <x v="0"/>
    <x v="0"/>
    <x v="9"/>
    <x v="3"/>
    <n v="3"/>
    <n v="102.7"/>
    <x v="5"/>
    <x v="2"/>
    <d v="2025-04-03T00:00:00"/>
    <x v="7"/>
    <x v="0"/>
    <d v="2025-12-11T00:00:00"/>
    <x v="34"/>
    <x v="6"/>
    <n v="3"/>
    <x v="3"/>
    <n v="20"/>
    <x v="0"/>
    <s v="No"/>
  </r>
  <r>
    <s v="CUST-0270"/>
    <x v="0"/>
    <x v="0"/>
    <x v="5"/>
    <x v="0"/>
    <n v="66"/>
    <n v="849.25"/>
    <x v="3"/>
    <x v="0"/>
    <d v="2023-02-25T00:00:00"/>
    <x v="38"/>
    <x v="0"/>
    <d v="2025-08-03T00:00:00"/>
    <x v="23"/>
    <x v="0"/>
    <n v="6"/>
    <x v="3"/>
    <n v="37"/>
    <x v="2"/>
    <s v="No"/>
  </r>
  <r>
    <s v="CUST-0271"/>
    <x v="0"/>
    <x v="0"/>
    <x v="4"/>
    <x v="2"/>
    <n v="13"/>
    <n v="221.2"/>
    <x v="0"/>
    <x v="0"/>
    <d v="2025-02-24T00:00:00"/>
    <x v="45"/>
    <x v="0"/>
    <d v="2025-03-05T00:00:00"/>
    <x v="29"/>
    <x v="5"/>
    <n v="6"/>
    <x v="1"/>
    <n v="19"/>
    <x v="0"/>
    <s v="No"/>
  </r>
  <r>
    <s v="CUST-0272"/>
    <x v="1"/>
    <x v="0"/>
    <x v="8"/>
    <x v="4"/>
    <n v="103"/>
    <n v="472.7"/>
    <x v="2"/>
    <x v="1"/>
    <d v="2024-02-21T00:00:00"/>
    <x v="17"/>
    <x v="0"/>
    <d v="2024-05-27T00:00:00"/>
    <x v="8"/>
    <x v="4"/>
    <n v="11"/>
    <x v="5"/>
    <n v="14"/>
    <x v="0"/>
    <s v="No"/>
  </r>
  <r>
    <s v="CUST-0273"/>
    <x v="0"/>
    <x v="1"/>
    <x v="3"/>
    <x v="3"/>
    <n v="6"/>
    <n v="117.51"/>
    <x v="0"/>
    <x v="3"/>
    <d v="2025-12-31T00:00:00"/>
    <x v="21"/>
    <x v="1"/>
    <m/>
    <x v="1"/>
    <x v="1"/>
    <n v="2"/>
    <x v="6"/>
    <n v="20"/>
    <x v="0"/>
    <s v="No"/>
  </r>
  <r>
    <s v="CUST-0274"/>
    <x v="0"/>
    <x v="1"/>
    <x v="1"/>
    <x v="0"/>
    <n v="41"/>
    <n v="470.05"/>
    <x v="2"/>
    <x v="1"/>
    <d v="2025-08-13T00:00:00"/>
    <x v="34"/>
    <x v="1"/>
    <m/>
    <x v="1"/>
    <x v="1"/>
    <n v="2"/>
    <x v="7"/>
    <n v="37"/>
    <x v="2"/>
    <s v="No"/>
  </r>
  <r>
    <s v="CUST-0275"/>
    <x v="2"/>
    <x v="0"/>
    <x v="7"/>
    <x v="3"/>
    <n v="6"/>
    <n v="348.25"/>
    <x v="0"/>
    <x v="3"/>
    <d v="2024-10-01T00:00:00"/>
    <x v="2"/>
    <x v="1"/>
    <m/>
    <x v="1"/>
    <x v="1"/>
    <n v="7"/>
    <x v="2"/>
    <n v="30"/>
    <x v="2"/>
    <s v="No"/>
  </r>
  <r>
    <s v="CUST-0276"/>
    <x v="1"/>
    <x v="0"/>
    <x v="8"/>
    <x v="4"/>
    <n v="50"/>
    <n v="242.15"/>
    <x v="3"/>
    <x v="2"/>
    <d v="2024-01-28T00:00:00"/>
    <x v="12"/>
    <x v="1"/>
    <m/>
    <x v="1"/>
    <x v="1"/>
    <n v="0"/>
    <x v="0"/>
    <n v="40"/>
    <x v="2"/>
    <s v="Yes"/>
  </r>
  <r>
    <s v="CUST-0277"/>
    <x v="3"/>
    <x v="0"/>
    <x v="7"/>
    <x v="2"/>
    <n v="31"/>
    <n v="2744.5"/>
    <x v="3"/>
    <x v="1"/>
    <d v="2023-02-02T00:00:00"/>
    <x v="38"/>
    <x v="0"/>
    <d v="2023-05-07T00:00:00"/>
    <x v="17"/>
    <x v="3"/>
    <n v="3"/>
    <x v="5"/>
    <n v="12"/>
    <x v="0"/>
    <s v="No"/>
  </r>
  <r>
    <s v="CUST-0278"/>
    <x v="2"/>
    <x v="0"/>
    <x v="1"/>
    <x v="0"/>
    <n v="48"/>
    <n v="1601.95"/>
    <x v="0"/>
    <x v="1"/>
    <d v="2025-10-17T00:00:00"/>
    <x v="39"/>
    <x v="1"/>
    <m/>
    <x v="1"/>
    <x v="1"/>
    <n v="7"/>
    <x v="1"/>
    <n v="52"/>
    <x v="1"/>
    <s v="No"/>
  </r>
  <r>
    <s v="CUST-0279"/>
    <x v="1"/>
    <x v="0"/>
    <x v="1"/>
    <x v="3"/>
    <n v="7"/>
    <n v="55.1"/>
    <x v="0"/>
    <x v="0"/>
    <d v="2025-09-09T00:00:00"/>
    <x v="4"/>
    <x v="1"/>
    <m/>
    <x v="1"/>
    <x v="1"/>
    <n v="4"/>
    <x v="0"/>
    <n v="93"/>
    <x v="3"/>
    <s v="No"/>
  </r>
  <r>
    <s v="CUST-0280"/>
    <x v="1"/>
    <x v="0"/>
    <x v="6"/>
    <x v="3"/>
    <n v="3"/>
    <n v="37.700000000000003"/>
    <x v="1"/>
    <x v="1"/>
    <d v="2025-05-01T00:00:00"/>
    <x v="18"/>
    <x v="1"/>
    <m/>
    <x v="1"/>
    <x v="1"/>
    <n v="2"/>
    <x v="4"/>
    <n v="66"/>
    <x v="1"/>
    <s v="No"/>
  </r>
  <r>
    <s v="CUST-0281"/>
    <x v="2"/>
    <x v="1"/>
    <x v="8"/>
    <x v="2"/>
    <n v="25"/>
    <n v="778.09"/>
    <x v="2"/>
    <x v="0"/>
    <d v="2025-06-11T00:00:00"/>
    <x v="47"/>
    <x v="1"/>
    <m/>
    <x v="1"/>
    <x v="1"/>
    <n v="4"/>
    <x v="0"/>
    <n v="90"/>
    <x v="3"/>
    <s v="No"/>
  </r>
  <r>
    <s v="CUST-0282"/>
    <x v="0"/>
    <x v="0"/>
    <x v="1"/>
    <x v="2"/>
    <n v="15"/>
    <n v="244.9"/>
    <x v="2"/>
    <x v="0"/>
    <d v="2025-05-03T00:00:00"/>
    <x v="18"/>
    <x v="1"/>
    <m/>
    <x v="1"/>
    <x v="1"/>
    <n v="1"/>
    <x v="4"/>
    <n v="86"/>
    <x v="3"/>
    <s v="Yes"/>
  </r>
  <r>
    <s v="CUST-0283"/>
    <x v="0"/>
    <x v="0"/>
    <x v="3"/>
    <x v="0"/>
    <n v="18"/>
    <n v="280.45"/>
    <x v="4"/>
    <x v="0"/>
    <d v="2022-11-22T00:00:00"/>
    <x v="35"/>
    <x v="0"/>
    <d v="2025-09-25T00:00:00"/>
    <x v="27"/>
    <x v="3"/>
    <n v="6"/>
    <x v="3"/>
    <n v="11"/>
    <x v="0"/>
    <s v="No"/>
  </r>
  <r>
    <s v="CUST-0284"/>
    <x v="1"/>
    <x v="0"/>
    <x v="3"/>
    <x v="4"/>
    <n v="82"/>
    <n v="381.35"/>
    <x v="0"/>
    <x v="0"/>
    <d v="2024-11-10T00:00:00"/>
    <x v="43"/>
    <x v="1"/>
    <m/>
    <x v="1"/>
    <x v="1"/>
    <n v="10"/>
    <x v="1"/>
    <n v="84"/>
    <x v="3"/>
    <s v="Yes"/>
  </r>
  <r>
    <s v="CUST-0285"/>
    <x v="1"/>
    <x v="0"/>
    <x v="6"/>
    <x v="4"/>
    <n v="111"/>
    <n v="507.5"/>
    <x v="5"/>
    <x v="0"/>
    <d v="2025-12-13T00:00:00"/>
    <x v="21"/>
    <x v="1"/>
    <m/>
    <x v="1"/>
    <x v="1"/>
    <n v="9"/>
    <x v="2"/>
    <n v="73"/>
    <x v="1"/>
    <s v="No"/>
  </r>
  <r>
    <s v="CUST-0286"/>
    <x v="2"/>
    <x v="1"/>
    <x v="1"/>
    <x v="3"/>
    <n v="2"/>
    <n v="194.52"/>
    <x v="0"/>
    <x v="3"/>
    <d v="2023-07-02T00:00:00"/>
    <x v="28"/>
    <x v="0"/>
    <d v="2023-09-25T00:00:00"/>
    <x v="33"/>
    <x v="4"/>
    <n v="1"/>
    <x v="3"/>
    <n v="39"/>
    <x v="2"/>
    <s v="No"/>
  </r>
  <r>
    <s v="CUST-0287"/>
    <x v="3"/>
    <x v="0"/>
    <x v="3"/>
    <x v="0"/>
    <n v="71"/>
    <n v="5738.5"/>
    <x v="3"/>
    <x v="0"/>
    <d v="2023-01-13T00:00:00"/>
    <x v="3"/>
    <x v="1"/>
    <m/>
    <x v="1"/>
    <x v="1"/>
    <n v="9"/>
    <x v="9"/>
    <n v="36"/>
    <x v="2"/>
    <s v="No"/>
  </r>
  <r>
    <s v="CUST-0288"/>
    <x v="2"/>
    <x v="0"/>
    <x v="4"/>
    <x v="2"/>
    <n v="19"/>
    <n v="736.3"/>
    <x v="0"/>
    <x v="0"/>
    <d v="2025-03-22T00:00:00"/>
    <x v="29"/>
    <x v="1"/>
    <m/>
    <x v="1"/>
    <x v="1"/>
    <n v="12"/>
    <x v="6"/>
    <n v="47"/>
    <x v="2"/>
    <s v="Yes"/>
  </r>
  <r>
    <s v="CUST-0289"/>
    <x v="0"/>
    <x v="0"/>
    <x v="3"/>
    <x v="0"/>
    <n v="51"/>
    <n v="671.5"/>
    <x v="0"/>
    <x v="0"/>
    <d v="2022-01-06T00:00:00"/>
    <x v="37"/>
    <x v="1"/>
    <m/>
    <x v="1"/>
    <x v="1"/>
    <n v="3"/>
    <x v="2"/>
    <n v="75"/>
    <x v="1"/>
    <s v="No"/>
  </r>
  <r>
    <s v="CUST-0290"/>
    <x v="2"/>
    <x v="1"/>
    <x v="9"/>
    <x v="4"/>
    <n v="55"/>
    <n v="1539.27"/>
    <x v="4"/>
    <x v="3"/>
    <d v="2022-07-29T00:00:00"/>
    <x v="16"/>
    <x v="0"/>
    <d v="2024-05-29T00:00:00"/>
    <x v="8"/>
    <x v="2"/>
    <n v="8"/>
    <x v="3"/>
    <n v="34"/>
    <x v="2"/>
    <s v="No"/>
  </r>
  <r>
    <s v="CUST-0291"/>
    <x v="3"/>
    <x v="1"/>
    <x v="1"/>
    <x v="0"/>
    <n v="16"/>
    <n v="1378.49"/>
    <x v="5"/>
    <x v="0"/>
    <d v="2023-01-12T00:00:00"/>
    <x v="3"/>
    <x v="1"/>
    <m/>
    <x v="1"/>
    <x v="1"/>
    <n v="9"/>
    <x v="4"/>
    <n v="31"/>
    <x v="2"/>
    <s v="No"/>
  </r>
  <r>
    <s v="CUST-0292"/>
    <x v="0"/>
    <x v="0"/>
    <x v="4"/>
    <x v="3"/>
    <n v="8"/>
    <n v="161.94999999999999"/>
    <x v="1"/>
    <x v="0"/>
    <d v="2023-07-03T00:00:00"/>
    <x v="28"/>
    <x v="0"/>
    <d v="2025-01-31T00:00:00"/>
    <x v="35"/>
    <x v="3"/>
    <n v="3"/>
    <x v="5"/>
    <n v="32"/>
    <x v="2"/>
    <s v="No"/>
  </r>
  <r>
    <s v="CUST-0293"/>
    <x v="0"/>
    <x v="0"/>
    <x v="1"/>
    <x v="2"/>
    <n v="24"/>
    <n v="351.55"/>
    <x v="1"/>
    <x v="0"/>
    <d v="2022-02-21T00:00:00"/>
    <x v="26"/>
    <x v="0"/>
    <d v="2022-08-11T00:00:00"/>
    <x v="16"/>
    <x v="3"/>
    <n v="8"/>
    <x v="5"/>
    <n v="35"/>
    <x v="2"/>
    <s v="No"/>
  </r>
  <r>
    <s v="CUST-0294"/>
    <x v="2"/>
    <x v="0"/>
    <x v="1"/>
    <x v="0"/>
    <n v="51"/>
    <n v="1691.5"/>
    <x v="3"/>
    <x v="0"/>
    <d v="2025-08-22T00:00:00"/>
    <x v="34"/>
    <x v="0"/>
    <d v="2025-11-14T00:00:00"/>
    <x v="22"/>
    <x v="3"/>
    <n v="1"/>
    <x v="1"/>
    <n v="25"/>
    <x v="2"/>
    <s v="No"/>
  </r>
  <r>
    <s v="CUST-0295"/>
    <x v="1"/>
    <x v="0"/>
    <x v="3"/>
    <x v="4"/>
    <n v="34"/>
    <n v="172.55"/>
    <x v="3"/>
    <x v="1"/>
    <d v="2022-10-12T00:00:00"/>
    <x v="33"/>
    <x v="0"/>
    <d v="2022-10-29T00:00:00"/>
    <x v="43"/>
    <x v="4"/>
    <n v="6"/>
    <x v="1"/>
    <n v="12"/>
    <x v="0"/>
    <s v="No"/>
  </r>
  <r>
    <s v="CUST-0296"/>
    <x v="1"/>
    <x v="0"/>
    <x v="7"/>
    <x v="4"/>
    <n v="146"/>
    <n v="659.75"/>
    <x v="2"/>
    <x v="0"/>
    <d v="2023-10-19T00:00:00"/>
    <x v="40"/>
    <x v="0"/>
    <d v="2023-11-10T00:00:00"/>
    <x v="36"/>
    <x v="0"/>
    <n v="8"/>
    <x v="0"/>
    <n v="13"/>
    <x v="0"/>
    <s v="No"/>
  </r>
  <r>
    <s v="CUST-0297"/>
    <x v="2"/>
    <x v="0"/>
    <x v="4"/>
    <x v="0"/>
    <n v="36"/>
    <n v="1243.75"/>
    <x v="4"/>
    <x v="0"/>
    <d v="2024-12-19T00:00:00"/>
    <x v="13"/>
    <x v="1"/>
    <m/>
    <x v="1"/>
    <x v="1"/>
    <n v="6"/>
    <x v="9"/>
    <n v="82"/>
    <x v="3"/>
    <s v="No"/>
  </r>
  <r>
    <s v="CUST-0298"/>
    <x v="1"/>
    <x v="0"/>
    <x v="7"/>
    <x v="0"/>
    <n v="70"/>
    <n v="329.15"/>
    <x v="1"/>
    <x v="3"/>
    <d v="2023-06-28T00:00:00"/>
    <x v="14"/>
    <x v="0"/>
    <d v="2024-08-27T00:00:00"/>
    <x v="40"/>
    <x v="4"/>
    <n v="15"/>
    <x v="3"/>
    <n v="11"/>
    <x v="0"/>
    <s v="No"/>
  </r>
  <r>
    <s v="CUST-0299"/>
    <x v="2"/>
    <x v="0"/>
    <x v="0"/>
    <x v="2"/>
    <n v="13"/>
    <n v="557.20000000000005"/>
    <x v="0"/>
    <x v="0"/>
    <d v="2022-04-29T00:00:00"/>
    <x v="27"/>
    <x v="0"/>
    <d v="2022-07-15T00:00:00"/>
    <x v="14"/>
    <x v="0"/>
    <n v="6"/>
    <x v="4"/>
    <n v="43"/>
    <x v="2"/>
    <s v="No"/>
  </r>
  <r>
    <s v="CUST-0300"/>
    <x v="1"/>
    <x v="0"/>
    <x v="3"/>
    <x v="2"/>
    <n v="23"/>
    <n v="124.7"/>
    <x v="4"/>
    <x v="1"/>
    <d v="2025-06-06T00:00:00"/>
    <x v="47"/>
    <x v="1"/>
    <m/>
    <x v="1"/>
    <x v="1"/>
    <n v="11"/>
    <x v="9"/>
    <n v="44"/>
    <x v="2"/>
    <s v="No"/>
  </r>
  <r>
    <s v="CUST-0301"/>
    <x v="0"/>
    <x v="1"/>
    <x v="8"/>
    <x v="4"/>
    <n v="108"/>
    <n v="1144.9100000000001"/>
    <x v="0"/>
    <x v="0"/>
    <d v="2024-12-14T00:00:00"/>
    <x v="13"/>
    <x v="1"/>
    <m/>
    <x v="1"/>
    <x v="1"/>
    <n v="3"/>
    <x v="4"/>
    <n v="32"/>
    <x v="2"/>
    <s v="Yes"/>
  </r>
  <r>
    <s v="CUST-0302"/>
    <x v="2"/>
    <x v="1"/>
    <x v="1"/>
    <x v="2"/>
    <n v="19"/>
    <n v="625.86"/>
    <x v="4"/>
    <x v="0"/>
    <d v="2023-04-08T00:00:00"/>
    <x v="23"/>
    <x v="1"/>
    <m/>
    <x v="1"/>
    <x v="1"/>
    <n v="8"/>
    <x v="9"/>
    <n v="53"/>
    <x v="1"/>
    <s v="No"/>
  </r>
  <r>
    <s v="CUST-0303"/>
    <x v="2"/>
    <x v="1"/>
    <x v="9"/>
    <x v="2"/>
    <n v="22"/>
    <n v="701.97"/>
    <x v="5"/>
    <x v="3"/>
    <d v="2022-01-24T00:00:00"/>
    <x v="37"/>
    <x v="0"/>
    <d v="2023-12-12T00:00:00"/>
    <x v="5"/>
    <x v="2"/>
    <n v="1"/>
    <x v="8"/>
    <n v="10"/>
    <x v="0"/>
    <s v="No"/>
  </r>
  <r>
    <s v="CUST-0304"/>
    <x v="0"/>
    <x v="1"/>
    <x v="5"/>
    <x v="2"/>
    <n v="29"/>
    <n v="349.18"/>
    <x v="3"/>
    <x v="0"/>
    <d v="2022-12-03T00:00:00"/>
    <x v="8"/>
    <x v="0"/>
    <d v="2023-02-19T00:00:00"/>
    <x v="44"/>
    <x v="6"/>
    <n v="14"/>
    <x v="0"/>
    <n v="32"/>
    <x v="2"/>
    <s v="No"/>
  </r>
  <r>
    <s v="CUST-0305"/>
    <x v="2"/>
    <x v="0"/>
    <x v="3"/>
    <x v="4"/>
    <n v="99"/>
    <n v="3124.3"/>
    <x v="2"/>
    <x v="0"/>
    <d v="2025-02-24T00:00:00"/>
    <x v="45"/>
    <x v="1"/>
    <m/>
    <x v="1"/>
    <x v="1"/>
    <n v="8"/>
    <x v="2"/>
    <n v="17"/>
    <x v="0"/>
    <s v="No"/>
  </r>
  <r>
    <s v="CUST-0306"/>
    <x v="2"/>
    <x v="0"/>
    <x v="8"/>
    <x v="2"/>
    <n v="26"/>
    <n v="945.25"/>
    <x v="0"/>
    <x v="1"/>
    <d v="2024-12-15T00:00:00"/>
    <x v="13"/>
    <x v="1"/>
    <m/>
    <x v="1"/>
    <x v="1"/>
    <n v="4"/>
    <x v="4"/>
    <n v="41"/>
    <x v="2"/>
    <s v="No"/>
  </r>
  <r>
    <s v="CUST-0307"/>
    <x v="3"/>
    <x v="1"/>
    <x v="3"/>
    <x v="0"/>
    <n v="50"/>
    <n v="3541.65"/>
    <x v="0"/>
    <x v="0"/>
    <d v="2025-02-09T00:00:00"/>
    <x v="45"/>
    <x v="1"/>
    <m/>
    <x v="1"/>
    <x v="1"/>
    <n v="9"/>
    <x v="6"/>
    <n v="36"/>
    <x v="2"/>
    <s v="No"/>
  </r>
  <r>
    <s v="CUST-0308"/>
    <x v="2"/>
    <x v="1"/>
    <x v="9"/>
    <x v="2"/>
    <n v="21"/>
    <n v="676.6"/>
    <x v="4"/>
    <x v="0"/>
    <d v="2025-09-20T00:00:00"/>
    <x v="4"/>
    <x v="1"/>
    <m/>
    <x v="1"/>
    <x v="1"/>
    <n v="0"/>
    <x v="7"/>
    <n v="91"/>
    <x v="3"/>
    <s v="No"/>
  </r>
  <r>
    <s v="CUST-0309"/>
    <x v="1"/>
    <x v="1"/>
    <x v="3"/>
    <x v="3"/>
    <n v="7"/>
    <n v="46.83"/>
    <x v="4"/>
    <x v="0"/>
    <d v="2023-09-03T00:00:00"/>
    <x v="5"/>
    <x v="0"/>
    <d v="2024-01-09T00:00:00"/>
    <x v="28"/>
    <x v="2"/>
    <n v="5"/>
    <x v="3"/>
    <n v="41"/>
    <x v="2"/>
    <s v="No"/>
  </r>
  <r>
    <s v="CUST-0310"/>
    <x v="1"/>
    <x v="0"/>
    <x v="8"/>
    <x v="4"/>
    <n v="71"/>
    <n v="333.5"/>
    <x v="1"/>
    <x v="1"/>
    <d v="2023-07-08T00:00:00"/>
    <x v="28"/>
    <x v="0"/>
    <d v="2024-02-11T00:00:00"/>
    <x v="18"/>
    <x v="6"/>
    <n v="1"/>
    <x v="0"/>
    <n v="14"/>
    <x v="0"/>
    <s v="No"/>
  </r>
  <r>
    <s v="CUST-0311"/>
    <x v="0"/>
    <x v="1"/>
    <x v="1"/>
    <x v="1"/>
    <n v="290"/>
    <n v="2978.1"/>
    <x v="3"/>
    <x v="0"/>
    <d v="2024-02-15T00:00:00"/>
    <x v="17"/>
    <x v="1"/>
    <m/>
    <x v="1"/>
    <x v="1"/>
    <n v="9"/>
    <x v="6"/>
    <n v="39"/>
    <x v="2"/>
    <s v="No"/>
  </r>
  <r>
    <s v="CUST-0312"/>
    <x v="1"/>
    <x v="1"/>
    <x v="2"/>
    <x v="4"/>
    <n v="36"/>
    <n v="154.06"/>
    <x v="2"/>
    <x v="2"/>
    <d v="2024-03-06T00:00:00"/>
    <x v="6"/>
    <x v="0"/>
    <d v="2024-09-01T00:00:00"/>
    <x v="21"/>
    <x v="3"/>
    <n v="4"/>
    <x v="8"/>
    <n v="42"/>
    <x v="2"/>
    <s v="No"/>
  </r>
  <r>
    <s v="CUST-0313"/>
    <x v="1"/>
    <x v="0"/>
    <x v="7"/>
    <x v="0"/>
    <n v="74"/>
    <n v="346.55"/>
    <x v="0"/>
    <x v="1"/>
    <d v="2025-01-22T00:00:00"/>
    <x v="25"/>
    <x v="1"/>
    <m/>
    <x v="1"/>
    <x v="1"/>
    <n v="3"/>
    <x v="1"/>
    <n v="18"/>
    <x v="0"/>
    <s v="No"/>
  </r>
  <r>
    <s v="CUST-0314"/>
    <x v="1"/>
    <x v="1"/>
    <x v="5"/>
    <x v="3"/>
    <n v="8"/>
    <n v="50.53"/>
    <x v="3"/>
    <x v="3"/>
    <d v="2024-10-07T00:00:00"/>
    <x v="2"/>
    <x v="1"/>
    <m/>
    <x v="1"/>
    <x v="1"/>
    <n v="3"/>
    <x v="3"/>
    <n v="22"/>
    <x v="2"/>
    <s v="No"/>
  </r>
  <r>
    <s v="CUST-0315"/>
    <x v="1"/>
    <x v="0"/>
    <x v="7"/>
    <x v="2"/>
    <n v="13"/>
    <n v="81.2"/>
    <x v="4"/>
    <x v="1"/>
    <d v="2025-03-23T00:00:00"/>
    <x v="29"/>
    <x v="0"/>
    <d v="2025-09-20T00:00:00"/>
    <x v="27"/>
    <x v="5"/>
    <n v="12"/>
    <x v="0"/>
    <n v="29"/>
    <x v="2"/>
    <s v="No"/>
  </r>
  <r>
    <s v="CUST-0316"/>
    <x v="0"/>
    <x v="1"/>
    <x v="1"/>
    <x v="2"/>
    <n v="33"/>
    <n v="389.47"/>
    <x v="2"/>
    <x v="3"/>
    <d v="2022-10-01T00:00:00"/>
    <x v="33"/>
    <x v="0"/>
    <d v="2025-09-06T00:00:00"/>
    <x v="27"/>
    <x v="2"/>
    <n v="11"/>
    <x v="4"/>
    <n v="37"/>
    <x v="2"/>
    <s v="No"/>
  </r>
  <r>
    <s v="CUST-0317"/>
    <x v="1"/>
    <x v="0"/>
    <x v="1"/>
    <x v="2"/>
    <n v="31"/>
    <n v="159.5"/>
    <x v="2"/>
    <x v="0"/>
    <d v="2024-12-09T00:00:00"/>
    <x v="13"/>
    <x v="0"/>
    <d v="2025-04-11T00:00:00"/>
    <x v="2"/>
    <x v="0"/>
    <n v="6"/>
    <x v="0"/>
    <n v="26"/>
    <x v="2"/>
    <s v="No"/>
  </r>
  <r>
    <s v="CUST-0318"/>
    <x v="1"/>
    <x v="0"/>
    <x v="0"/>
    <x v="3"/>
    <n v="1"/>
    <n v="29"/>
    <x v="5"/>
    <x v="3"/>
    <d v="2025-02-06T00:00:00"/>
    <x v="45"/>
    <x v="0"/>
    <d v="2025-10-26T00:00:00"/>
    <x v="41"/>
    <x v="5"/>
    <n v="12"/>
    <x v="0"/>
    <n v="30"/>
    <x v="2"/>
    <s v="No"/>
  </r>
  <r>
    <s v="CUST-0319"/>
    <x v="1"/>
    <x v="1"/>
    <x v="8"/>
    <x v="0"/>
    <n v="40"/>
    <n v="168.85"/>
    <x v="0"/>
    <x v="1"/>
    <d v="2022-07-16T00:00:00"/>
    <x v="16"/>
    <x v="0"/>
    <d v="2022-10-13T00:00:00"/>
    <x v="43"/>
    <x v="3"/>
    <n v="14"/>
    <x v="1"/>
    <n v="38"/>
    <x v="2"/>
    <s v="No"/>
  </r>
  <r>
    <s v="CUST-0320"/>
    <x v="0"/>
    <x v="1"/>
    <x v="8"/>
    <x v="0"/>
    <n v="20"/>
    <n v="258.52999999999997"/>
    <x v="0"/>
    <x v="1"/>
    <d v="2023-12-19T00:00:00"/>
    <x v="31"/>
    <x v="1"/>
    <m/>
    <x v="1"/>
    <x v="1"/>
    <n v="10"/>
    <x v="6"/>
    <n v="34"/>
    <x v="2"/>
    <s v="No"/>
  </r>
  <r>
    <s v="CUST-0321"/>
    <x v="0"/>
    <x v="0"/>
    <x v="7"/>
    <x v="3"/>
    <n v="2"/>
    <n v="90.85"/>
    <x v="0"/>
    <x v="0"/>
    <d v="2025-03-11T00:00:00"/>
    <x v="29"/>
    <x v="0"/>
    <d v="2025-04-30T00:00:00"/>
    <x v="2"/>
    <x v="5"/>
    <n v="8"/>
    <x v="0"/>
    <n v="15"/>
    <x v="0"/>
    <s v="No"/>
  </r>
  <r>
    <s v="CUST-0322"/>
    <x v="0"/>
    <x v="1"/>
    <x v="9"/>
    <x v="0"/>
    <n v="34"/>
    <n v="399.54"/>
    <x v="5"/>
    <x v="0"/>
    <d v="2024-10-14T00:00:00"/>
    <x v="2"/>
    <x v="0"/>
    <d v="2024-12-11T00:00:00"/>
    <x v="10"/>
    <x v="7"/>
    <n v="11"/>
    <x v="4"/>
    <n v="12"/>
    <x v="0"/>
    <s v="No"/>
  </r>
  <r>
    <s v="CUST-0323"/>
    <x v="2"/>
    <x v="0"/>
    <x v="5"/>
    <x v="3"/>
    <n v="7"/>
    <n v="378.1"/>
    <x v="2"/>
    <x v="2"/>
    <d v="2023-10-18T00:00:00"/>
    <x v="40"/>
    <x v="1"/>
    <m/>
    <x v="1"/>
    <x v="1"/>
    <n v="5"/>
    <x v="6"/>
    <n v="55"/>
    <x v="1"/>
    <s v="No"/>
  </r>
  <r>
    <s v="CUST-0324"/>
    <x v="1"/>
    <x v="1"/>
    <x v="9"/>
    <x v="0"/>
    <n v="24"/>
    <n v="109.69"/>
    <x v="0"/>
    <x v="0"/>
    <d v="2025-11-12T00:00:00"/>
    <x v="41"/>
    <x v="1"/>
    <m/>
    <x v="1"/>
    <x v="1"/>
    <n v="7"/>
    <x v="3"/>
    <n v="90"/>
    <x v="3"/>
    <s v="No"/>
  </r>
  <r>
    <s v="CUST-0325"/>
    <x v="0"/>
    <x v="1"/>
    <x v="4"/>
    <x v="4"/>
    <n v="105"/>
    <n v="1114.69"/>
    <x v="4"/>
    <x v="1"/>
    <d v="2022-03-28T00:00:00"/>
    <x v="32"/>
    <x v="0"/>
    <d v="2023-09-25T00:00:00"/>
    <x v="33"/>
    <x v="4"/>
    <n v="2"/>
    <x v="5"/>
    <n v="15"/>
    <x v="0"/>
    <s v="No"/>
  </r>
  <r>
    <s v="CUST-0326"/>
    <x v="2"/>
    <x v="1"/>
    <x v="7"/>
    <x v="2"/>
    <n v="10"/>
    <n v="397.5"/>
    <x v="2"/>
    <x v="0"/>
    <d v="2025-01-19T00:00:00"/>
    <x v="25"/>
    <x v="1"/>
    <m/>
    <x v="1"/>
    <x v="1"/>
    <n v="6"/>
    <x v="6"/>
    <n v="77"/>
    <x v="1"/>
    <s v="Yes"/>
  </r>
  <r>
    <s v="CUST-0327"/>
    <x v="0"/>
    <x v="0"/>
    <x v="9"/>
    <x v="2"/>
    <n v="15"/>
    <n v="244.9"/>
    <x v="2"/>
    <x v="2"/>
    <d v="2022-05-04T00:00:00"/>
    <x v="11"/>
    <x v="0"/>
    <d v="2022-06-25T00:00:00"/>
    <x v="38"/>
    <x v="5"/>
    <n v="14"/>
    <x v="5"/>
    <n v="15"/>
    <x v="0"/>
    <s v="No"/>
  </r>
  <r>
    <s v="CUST-0328"/>
    <x v="0"/>
    <x v="0"/>
    <x v="4"/>
    <x v="2"/>
    <n v="13"/>
    <n v="221.2"/>
    <x v="4"/>
    <x v="1"/>
    <d v="2024-08-30T00:00:00"/>
    <x v="44"/>
    <x v="1"/>
    <m/>
    <x v="1"/>
    <x v="1"/>
    <n v="2"/>
    <x v="1"/>
    <n v="71"/>
    <x v="1"/>
    <s v="No"/>
  </r>
  <r>
    <s v="CUST-0329"/>
    <x v="1"/>
    <x v="0"/>
    <x v="8"/>
    <x v="1"/>
    <n v="297"/>
    <n v="1316.6"/>
    <x v="2"/>
    <x v="3"/>
    <d v="2025-12-11T00:00:00"/>
    <x v="21"/>
    <x v="1"/>
    <m/>
    <x v="1"/>
    <x v="1"/>
    <n v="7"/>
    <x v="1"/>
    <n v="44"/>
    <x v="2"/>
    <s v="No"/>
  </r>
  <r>
    <s v="CUST-0330"/>
    <x v="0"/>
    <x v="0"/>
    <x v="0"/>
    <x v="0"/>
    <n v="51"/>
    <n v="671.5"/>
    <x v="1"/>
    <x v="2"/>
    <d v="2024-03-17T00:00:00"/>
    <x v="6"/>
    <x v="1"/>
    <m/>
    <x v="1"/>
    <x v="1"/>
    <n v="7"/>
    <x v="1"/>
    <n v="84"/>
    <x v="3"/>
    <s v="No"/>
  </r>
  <r>
    <s v="CUST-0331"/>
    <x v="0"/>
    <x v="0"/>
    <x v="7"/>
    <x v="0"/>
    <n v="30"/>
    <n v="422.65"/>
    <x v="5"/>
    <x v="0"/>
    <d v="2025-06-13T00:00:00"/>
    <x v="47"/>
    <x v="1"/>
    <m/>
    <x v="1"/>
    <x v="1"/>
    <n v="11"/>
    <x v="8"/>
    <n v="60"/>
    <x v="1"/>
    <s v="No"/>
  </r>
  <r>
    <s v="CUST-0332"/>
    <x v="0"/>
    <x v="0"/>
    <x v="1"/>
    <x v="0"/>
    <n v="77"/>
    <n v="979.6"/>
    <x v="4"/>
    <x v="0"/>
    <d v="2025-03-08T00:00:00"/>
    <x v="29"/>
    <x v="0"/>
    <d v="2025-06-10T00:00:00"/>
    <x v="3"/>
    <x v="4"/>
    <n v="3"/>
    <x v="3"/>
    <n v="40"/>
    <x v="2"/>
    <s v="No"/>
  </r>
  <r>
    <s v="CUST-0333"/>
    <x v="0"/>
    <x v="1"/>
    <x v="7"/>
    <x v="0"/>
    <n v="18"/>
    <n v="238.38"/>
    <x v="2"/>
    <x v="2"/>
    <d v="2024-04-05T00:00:00"/>
    <x v="42"/>
    <x v="0"/>
    <d v="2025-10-06T00:00:00"/>
    <x v="41"/>
    <x v="7"/>
    <n v="14"/>
    <x v="5"/>
    <n v="33"/>
    <x v="2"/>
    <s v="No"/>
  </r>
  <r>
    <s v="CUST-0334"/>
    <x v="1"/>
    <x v="1"/>
    <x v="1"/>
    <x v="4"/>
    <n v="85"/>
    <n v="335.24"/>
    <x v="0"/>
    <x v="1"/>
    <d v="2023-10-13T00:00:00"/>
    <x v="40"/>
    <x v="0"/>
    <d v="2024-01-22T00:00:00"/>
    <x v="28"/>
    <x v="4"/>
    <n v="8"/>
    <x v="5"/>
    <n v="35"/>
    <x v="2"/>
    <s v="No"/>
  </r>
  <r>
    <s v="CUST-0335"/>
    <x v="0"/>
    <x v="0"/>
    <x v="9"/>
    <x v="2"/>
    <n v="18"/>
    <n v="280.45"/>
    <x v="5"/>
    <x v="0"/>
    <d v="2022-09-07T00:00:00"/>
    <x v="30"/>
    <x v="0"/>
    <d v="2024-03-13T00:00:00"/>
    <x v="0"/>
    <x v="6"/>
    <n v="10"/>
    <x v="5"/>
    <n v="27"/>
    <x v="2"/>
    <s v="No"/>
  </r>
  <r>
    <s v="CUST-0336"/>
    <x v="2"/>
    <x v="1"/>
    <x v="7"/>
    <x v="3"/>
    <n v="5"/>
    <n v="270.64"/>
    <x v="0"/>
    <x v="1"/>
    <d v="2023-07-14T00:00:00"/>
    <x v="28"/>
    <x v="0"/>
    <d v="2025-02-15T00:00:00"/>
    <x v="32"/>
    <x v="5"/>
    <n v="7"/>
    <x v="5"/>
    <n v="36"/>
    <x v="2"/>
    <s v="No"/>
  </r>
  <r>
    <s v="CUST-0337"/>
    <x v="1"/>
    <x v="0"/>
    <x v="5"/>
    <x v="0"/>
    <n v="65"/>
    <n v="307.39999999999998"/>
    <x v="4"/>
    <x v="3"/>
    <d v="2022-11-22T00:00:00"/>
    <x v="35"/>
    <x v="0"/>
    <d v="2023-03-19T00:00:00"/>
    <x v="24"/>
    <x v="0"/>
    <n v="3"/>
    <x v="5"/>
    <n v="45"/>
    <x v="2"/>
    <s v="No"/>
  </r>
  <r>
    <s v="CUST-0338"/>
    <x v="1"/>
    <x v="1"/>
    <x v="4"/>
    <x v="2"/>
    <n v="26"/>
    <n v="117.09"/>
    <x v="2"/>
    <x v="0"/>
    <d v="2024-01-29T00:00:00"/>
    <x v="12"/>
    <x v="1"/>
    <m/>
    <x v="1"/>
    <x v="1"/>
    <n v="4"/>
    <x v="7"/>
    <n v="42"/>
    <x v="2"/>
    <s v="Yes"/>
  </r>
  <r>
    <s v="CUST-0339"/>
    <x v="1"/>
    <x v="0"/>
    <x v="5"/>
    <x v="3"/>
    <n v="4"/>
    <n v="42.05"/>
    <x v="0"/>
    <x v="0"/>
    <d v="2024-05-28T00:00:00"/>
    <x v="22"/>
    <x v="0"/>
    <d v="2025-01-20T00:00:00"/>
    <x v="35"/>
    <x v="0"/>
    <n v="0"/>
    <x v="1"/>
    <n v="13"/>
    <x v="0"/>
    <s v="No"/>
  </r>
  <r>
    <s v="CUST-0340"/>
    <x v="1"/>
    <x v="1"/>
    <x v="7"/>
    <x v="4"/>
    <n v="140"/>
    <n v="538.6"/>
    <x v="0"/>
    <x v="1"/>
    <d v="2022-06-30T00:00:00"/>
    <x v="0"/>
    <x v="0"/>
    <d v="2022-10-01T00:00:00"/>
    <x v="43"/>
    <x v="4"/>
    <n v="14"/>
    <x v="3"/>
    <n v="43"/>
    <x v="2"/>
    <s v="No"/>
  </r>
  <r>
    <s v="CUST-0341"/>
    <x v="1"/>
    <x v="0"/>
    <x v="2"/>
    <x v="4"/>
    <n v="41"/>
    <n v="203"/>
    <x v="4"/>
    <x v="0"/>
    <d v="2025-03-19T00:00:00"/>
    <x v="29"/>
    <x v="0"/>
    <d v="2025-06-24T00:00:00"/>
    <x v="3"/>
    <x v="6"/>
    <n v="12"/>
    <x v="5"/>
    <n v="40"/>
    <x v="2"/>
    <s v="No"/>
  </r>
  <r>
    <s v="CUST-0342"/>
    <x v="1"/>
    <x v="1"/>
    <x v="0"/>
    <x v="4"/>
    <n v="78"/>
    <n v="309.36"/>
    <x v="4"/>
    <x v="1"/>
    <d v="2024-08-15T00:00:00"/>
    <x v="44"/>
    <x v="0"/>
    <d v="2025-08-15T00:00:00"/>
    <x v="23"/>
    <x v="3"/>
    <n v="3"/>
    <x v="5"/>
    <n v="35"/>
    <x v="2"/>
    <s v="No"/>
  </r>
  <r>
    <s v="CUST-0343"/>
    <x v="2"/>
    <x v="1"/>
    <x v="8"/>
    <x v="2"/>
    <n v="12"/>
    <n v="448.25"/>
    <x v="3"/>
    <x v="3"/>
    <d v="2023-05-23T00:00:00"/>
    <x v="24"/>
    <x v="0"/>
    <d v="2025-04-18T00:00:00"/>
    <x v="2"/>
    <x v="6"/>
    <n v="12"/>
    <x v="4"/>
    <n v="19"/>
    <x v="0"/>
    <s v="No"/>
  </r>
  <r>
    <s v="CUST-0344"/>
    <x v="0"/>
    <x v="0"/>
    <x v="0"/>
    <x v="2"/>
    <n v="32"/>
    <n v="446.35"/>
    <x v="3"/>
    <x v="2"/>
    <d v="2022-05-22T00:00:00"/>
    <x v="11"/>
    <x v="0"/>
    <d v="2023-06-15T00:00:00"/>
    <x v="6"/>
    <x v="5"/>
    <n v="3"/>
    <x v="0"/>
    <n v="29"/>
    <x v="2"/>
    <s v="No"/>
  </r>
  <r>
    <s v="CUST-0345"/>
    <x v="2"/>
    <x v="1"/>
    <x v="7"/>
    <x v="3"/>
    <n v="4"/>
    <n v="245.27"/>
    <x v="4"/>
    <x v="1"/>
    <d v="2022-09-26T00:00:00"/>
    <x v="30"/>
    <x v="1"/>
    <m/>
    <x v="1"/>
    <x v="1"/>
    <n v="4"/>
    <x v="3"/>
    <n v="93"/>
    <x v="3"/>
    <s v="No"/>
  </r>
  <r>
    <s v="CUST-0346"/>
    <x v="2"/>
    <x v="0"/>
    <x v="7"/>
    <x v="4"/>
    <n v="126"/>
    <n v="3930.25"/>
    <x v="4"/>
    <x v="0"/>
    <d v="2025-11-18T00:00:00"/>
    <x v="41"/>
    <x v="1"/>
    <m/>
    <x v="1"/>
    <x v="1"/>
    <n v="9"/>
    <x v="7"/>
    <n v="20"/>
    <x v="0"/>
    <s v="No"/>
  </r>
  <r>
    <s v="CUST-0347"/>
    <x v="0"/>
    <x v="1"/>
    <x v="5"/>
    <x v="0"/>
    <n v="17"/>
    <n v="228.31"/>
    <x v="0"/>
    <x v="1"/>
    <d v="2025-09-25T00:00:00"/>
    <x v="4"/>
    <x v="1"/>
    <m/>
    <x v="1"/>
    <x v="1"/>
    <n v="5"/>
    <x v="1"/>
    <n v="21"/>
    <x v="2"/>
    <s v="No"/>
  </r>
  <r>
    <s v="CUST-0348"/>
    <x v="2"/>
    <x v="0"/>
    <x v="4"/>
    <x v="0"/>
    <n v="73"/>
    <n v="2348.1999999999998"/>
    <x v="0"/>
    <x v="2"/>
    <d v="2025-06-05T00:00:00"/>
    <x v="47"/>
    <x v="1"/>
    <m/>
    <x v="1"/>
    <x v="1"/>
    <n v="9"/>
    <x v="8"/>
    <n v="74"/>
    <x v="1"/>
    <s v="No"/>
  </r>
  <r>
    <s v="CUST-0349"/>
    <x v="2"/>
    <x v="1"/>
    <x v="8"/>
    <x v="2"/>
    <n v="29"/>
    <n v="879.58"/>
    <x v="4"/>
    <x v="0"/>
    <d v="2024-06-14T00:00:00"/>
    <x v="19"/>
    <x v="1"/>
    <m/>
    <x v="1"/>
    <x v="1"/>
    <n v="7"/>
    <x v="9"/>
    <n v="33"/>
    <x v="2"/>
    <s v="No"/>
  </r>
  <r>
    <s v="CUST-0350"/>
    <x v="0"/>
    <x v="0"/>
    <x v="5"/>
    <x v="0"/>
    <n v="59"/>
    <n v="766.3"/>
    <x v="5"/>
    <x v="0"/>
    <d v="2022-02-27T00:00:00"/>
    <x v="26"/>
    <x v="0"/>
    <d v="2022-10-03T00:00:00"/>
    <x v="43"/>
    <x v="3"/>
    <n v="6"/>
    <x v="3"/>
    <n v="21"/>
    <x v="2"/>
    <s v="No"/>
  </r>
  <r>
    <s v="CUST-0351"/>
    <x v="1"/>
    <x v="1"/>
    <x v="0"/>
    <x v="3"/>
    <n v="4"/>
    <n v="35.74"/>
    <x v="4"/>
    <x v="0"/>
    <d v="2024-07-21T00:00:00"/>
    <x v="10"/>
    <x v="0"/>
    <d v="2024-12-03T00:00:00"/>
    <x v="10"/>
    <x v="7"/>
    <n v="8"/>
    <x v="4"/>
    <n v="47"/>
    <x v="2"/>
    <s v="No"/>
  </r>
  <r>
    <s v="CUST-0352"/>
    <x v="1"/>
    <x v="0"/>
    <x v="7"/>
    <x v="1"/>
    <n v="130"/>
    <n v="590.15"/>
    <x v="2"/>
    <x v="1"/>
    <d v="2023-07-18T00:00:00"/>
    <x v="28"/>
    <x v="0"/>
    <d v="2024-05-11T00:00:00"/>
    <x v="8"/>
    <x v="4"/>
    <n v="5"/>
    <x v="1"/>
    <n v="23"/>
    <x v="2"/>
    <s v="No"/>
  </r>
  <r>
    <s v="CUST-0353"/>
    <x v="2"/>
    <x v="1"/>
    <x v="6"/>
    <x v="4"/>
    <n v="61"/>
    <n v="1691.5"/>
    <x v="5"/>
    <x v="1"/>
    <d v="2025-04-02T00:00:00"/>
    <x v="7"/>
    <x v="0"/>
    <d v="2025-05-16T00:00:00"/>
    <x v="30"/>
    <x v="7"/>
    <n v="15"/>
    <x v="8"/>
    <n v="33"/>
    <x v="2"/>
    <s v="No"/>
  </r>
  <r>
    <s v="CUST-0354"/>
    <x v="2"/>
    <x v="1"/>
    <x v="1"/>
    <x v="3"/>
    <n v="8"/>
    <n v="346.76"/>
    <x v="2"/>
    <x v="0"/>
    <d v="2022-06-25T00:00:00"/>
    <x v="0"/>
    <x v="0"/>
    <d v="2024-12-29T00:00:00"/>
    <x v="10"/>
    <x v="2"/>
    <n v="10"/>
    <x v="4"/>
    <n v="30"/>
    <x v="2"/>
    <s v="No"/>
  </r>
  <r>
    <s v="CUST-0355"/>
    <x v="1"/>
    <x v="1"/>
    <x v="6"/>
    <x v="0"/>
    <n v="43"/>
    <n v="179.94"/>
    <x v="0"/>
    <x v="0"/>
    <d v="2024-10-27T00:00:00"/>
    <x v="2"/>
    <x v="1"/>
    <m/>
    <x v="1"/>
    <x v="1"/>
    <n v="3"/>
    <x v="0"/>
    <n v="63"/>
    <x v="1"/>
    <s v="No"/>
  </r>
  <r>
    <s v="CUST-0356"/>
    <x v="1"/>
    <x v="1"/>
    <x v="5"/>
    <x v="2"/>
    <n v="6"/>
    <n v="43.14"/>
    <x v="0"/>
    <x v="0"/>
    <d v="2022-09-13T00:00:00"/>
    <x v="30"/>
    <x v="0"/>
    <d v="2022-11-05T00:00:00"/>
    <x v="26"/>
    <x v="2"/>
    <n v="15"/>
    <x v="0"/>
    <n v="46"/>
    <x v="2"/>
    <s v="No"/>
  </r>
  <r>
    <s v="CUST-0357"/>
    <x v="1"/>
    <x v="1"/>
    <x v="6"/>
    <x v="4"/>
    <n v="92"/>
    <n v="361.12"/>
    <x v="0"/>
    <x v="0"/>
    <d v="2023-01-23T00:00:00"/>
    <x v="3"/>
    <x v="0"/>
    <d v="2023-06-03T00:00:00"/>
    <x v="6"/>
    <x v="7"/>
    <n v="13"/>
    <x v="5"/>
    <n v="38"/>
    <x v="2"/>
    <s v="No"/>
  </r>
  <r>
    <s v="CUST-0358"/>
    <x v="1"/>
    <x v="1"/>
    <x v="9"/>
    <x v="0"/>
    <n v="30"/>
    <n v="131.88"/>
    <x v="3"/>
    <x v="1"/>
    <d v="2025-02-24T00:00:00"/>
    <x v="45"/>
    <x v="1"/>
    <m/>
    <x v="1"/>
    <x v="1"/>
    <n v="1"/>
    <x v="2"/>
    <n v="39"/>
    <x v="2"/>
    <s v="No"/>
  </r>
  <r>
    <s v="CUST-0359"/>
    <x v="2"/>
    <x v="0"/>
    <x v="6"/>
    <x v="4"/>
    <n v="118"/>
    <n v="3691.45"/>
    <x v="1"/>
    <x v="2"/>
    <d v="2025-07-03T00:00:00"/>
    <x v="20"/>
    <x v="1"/>
    <m/>
    <x v="1"/>
    <x v="1"/>
    <n v="10"/>
    <x v="8"/>
    <n v="87"/>
    <x v="3"/>
    <s v="No"/>
  </r>
  <r>
    <s v="CUST-0360"/>
    <x v="1"/>
    <x v="1"/>
    <x v="9"/>
    <x v="3"/>
    <n v="2"/>
    <n v="28.35"/>
    <x v="5"/>
    <x v="1"/>
    <d v="2022-08-07T00:00:00"/>
    <x v="36"/>
    <x v="1"/>
    <m/>
    <x v="1"/>
    <x v="1"/>
    <n v="11"/>
    <x v="4"/>
    <n v="20"/>
    <x v="0"/>
    <s v="No"/>
  </r>
  <r>
    <s v="CUST-0361"/>
    <x v="0"/>
    <x v="1"/>
    <x v="0"/>
    <x v="3"/>
    <n v="7"/>
    <n v="127.59"/>
    <x v="4"/>
    <x v="1"/>
    <d v="2024-06-08T00:00:00"/>
    <x v="19"/>
    <x v="1"/>
    <m/>
    <x v="1"/>
    <x v="1"/>
    <n v="12"/>
    <x v="2"/>
    <n v="31"/>
    <x v="2"/>
    <s v="No"/>
  </r>
  <r>
    <s v="CUST-0362"/>
    <x v="3"/>
    <x v="0"/>
    <x v="6"/>
    <x v="0"/>
    <n v="59"/>
    <n v="4840.3"/>
    <x v="0"/>
    <x v="0"/>
    <d v="2023-09-21T00:00:00"/>
    <x v="5"/>
    <x v="1"/>
    <m/>
    <x v="1"/>
    <x v="1"/>
    <n v="0"/>
    <x v="0"/>
    <n v="90"/>
    <x v="3"/>
    <s v="No"/>
  </r>
  <r>
    <s v="CUST-0363"/>
    <x v="3"/>
    <x v="0"/>
    <x v="4"/>
    <x v="3"/>
    <n v="7"/>
    <n v="948.1"/>
    <x v="5"/>
    <x v="0"/>
    <d v="2024-03-06T00:00:00"/>
    <x v="6"/>
    <x v="1"/>
    <m/>
    <x v="1"/>
    <x v="1"/>
    <n v="2"/>
    <x v="4"/>
    <n v="41"/>
    <x v="2"/>
    <s v="No"/>
  </r>
  <r>
    <s v="CUST-0364"/>
    <x v="2"/>
    <x v="0"/>
    <x v="8"/>
    <x v="2"/>
    <n v="17"/>
    <n v="676.6"/>
    <x v="2"/>
    <x v="0"/>
    <d v="2022-04-05T00:00:00"/>
    <x v="27"/>
    <x v="0"/>
    <d v="2025-09-20T00:00:00"/>
    <x v="27"/>
    <x v="0"/>
    <n v="7"/>
    <x v="1"/>
    <n v="13"/>
    <x v="0"/>
    <s v="No"/>
  </r>
  <r>
    <s v="CUST-0365"/>
    <x v="1"/>
    <x v="0"/>
    <x v="9"/>
    <x v="2"/>
    <n v="14"/>
    <n v="85.55"/>
    <x v="2"/>
    <x v="3"/>
    <d v="2024-03-11T00:00:00"/>
    <x v="6"/>
    <x v="0"/>
    <d v="2024-06-07T00:00:00"/>
    <x v="19"/>
    <x v="3"/>
    <n v="9"/>
    <x v="3"/>
    <n v="14"/>
    <x v="0"/>
    <s v="No"/>
  </r>
  <r>
    <s v="CUST-0366"/>
    <x v="0"/>
    <x v="0"/>
    <x v="7"/>
    <x v="0"/>
    <n v="52"/>
    <n v="683.35"/>
    <x v="4"/>
    <x v="0"/>
    <d v="2025-09-28T00:00:00"/>
    <x v="4"/>
    <x v="1"/>
    <m/>
    <x v="1"/>
    <x v="1"/>
    <n v="11"/>
    <x v="7"/>
    <n v="17"/>
    <x v="0"/>
    <s v="No"/>
  </r>
  <r>
    <s v="CUST-0367"/>
    <x v="1"/>
    <x v="1"/>
    <x v="9"/>
    <x v="3"/>
    <n v="5"/>
    <n v="39.44"/>
    <x v="3"/>
    <x v="0"/>
    <d v="2023-07-29T00:00:00"/>
    <x v="28"/>
    <x v="1"/>
    <m/>
    <x v="1"/>
    <x v="1"/>
    <n v="1"/>
    <x v="0"/>
    <n v="80"/>
    <x v="1"/>
    <s v="No"/>
  </r>
  <r>
    <s v="CUST-0368"/>
    <x v="0"/>
    <x v="1"/>
    <x v="5"/>
    <x v="2"/>
    <n v="25"/>
    <n v="308.89"/>
    <x v="2"/>
    <x v="0"/>
    <d v="2024-05-17T00:00:00"/>
    <x v="22"/>
    <x v="1"/>
    <m/>
    <x v="1"/>
    <x v="1"/>
    <n v="3"/>
    <x v="4"/>
    <n v="92"/>
    <x v="3"/>
    <s v="No"/>
  </r>
  <r>
    <s v="CUST-0369"/>
    <x v="3"/>
    <x v="0"/>
    <x v="0"/>
    <x v="2"/>
    <n v="25"/>
    <n v="2295.4"/>
    <x v="1"/>
    <x v="0"/>
    <d v="2025-03-09T00:00:00"/>
    <x v="29"/>
    <x v="0"/>
    <d v="2025-04-28T00:00:00"/>
    <x v="2"/>
    <x v="3"/>
    <n v="9"/>
    <x v="4"/>
    <n v="37"/>
    <x v="2"/>
    <s v="No"/>
  </r>
  <r>
    <s v="CUST-0370"/>
    <x v="1"/>
    <x v="0"/>
    <x v="2"/>
    <x v="4"/>
    <n v="117"/>
    <n v="533.6"/>
    <x v="0"/>
    <x v="0"/>
    <d v="2024-07-19T00:00:00"/>
    <x v="10"/>
    <x v="0"/>
    <d v="2025-04-28T00:00:00"/>
    <x v="2"/>
    <x v="0"/>
    <n v="8"/>
    <x v="4"/>
    <n v="10"/>
    <x v="0"/>
    <s v="No"/>
  </r>
  <r>
    <s v="CUST-0371"/>
    <x v="1"/>
    <x v="0"/>
    <x v="9"/>
    <x v="0"/>
    <n v="39"/>
    <n v="194.3"/>
    <x v="3"/>
    <x v="3"/>
    <d v="2024-03-01T00:00:00"/>
    <x v="6"/>
    <x v="0"/>
    <d v="2024-04-17T00:00:00"/>
    <x v="12"/>
    <x v="0"/>
    <n v="13"/>
    <x v="5"/>
    <n v="22"/>
    <x v="2"/>
    <s v="No"/>
  </r>
  <r>
    <s v="CUST-0372"/>
    <x v="2"/>
    <x v="0"/>
    <x v="8"/>
    <x v="2"/>
    <n v="29"/>
    <n v="1034.8"/>
    <x v="4"/>
    <x v="2"/>
    <d v="2023-02-10T00:00:00"/>
    <x v="38"/>
    <x v="0"/>
    <d v="2025-10-14T00:00:00"/>
    <x v="41"/>
    <x v="5"/>
    <n v="12"/>
    <x v="5"/>
    <n v="34"/>
    <x v="2"/>
    <s v="No"/>
  </r>
  <r>
    <s v="CUST-0373"/>
    <x v="2"/>
    <x v="0"/>
    <x v="1"/>
    <x v="3"/>
    <n v="4"/>
    <n v="288.55"/>
    <x v="2"/>
    <x v="1"/>
    <d v="2025-10-29T00:00:00"/>
    <x v="39"/>
    <x v="1"/>
    <m/>
    <x v="1"/>
    <x v="1"/>
    <n v="6"/>
    <x v="3"/>
    <n v="63"/>
    <x v="1"/>
    <s v="No"/>
  </r>
  <r>
    <s v="CUST-0374"/>
    <x v="1"/>
    <x v="0"/>
    <x v="2"/>
    <x v="4"/>
    <n v="139"/>
    <n v="629.29999999999995"/>
    <x v="4"/>
    <x v="2"/>
    <d v="2022-01-08T00:00:00"/>
    <x v="37"/>
    <x v="0"/>
    <d v="2022-04-08T00:00:00"/>
    <x v="42"/>
    <x v="7"/>
    <n v="10"/>
    <x v="4"/>
    <n v="20"/>
    <x v="0"/>
    <s v="No"/>
  </r>
  <r>
    <s v="CUST-0375"/>
    <x v="1"/>
    <x v="1"/>
    <x v="8"/>
    <x v="2"/>
    <n v="16"/>
    <n v="80.11"/>
    <x v="0"/>
    <x v="1"/>
    <d v="2022-05-12T00:00:00"/>
    <x v="11"/>
    <x v="0"/>
    <d v="2023-01-05T00:00:00"/>
    <x v="9"/>
    <x v="7"/>
    <n v="7"/>
    <x v="8"/>
    <n v="18"/>
    <x v="0"/>
    <s v="No"/>
  </r>
  <r>
    <s v="CUST-0376"/>
    <x v="3"/>
    <x v="1"/>
    <x v="6"/>
    <x v="0"/>
    <n v="46"/>
    <n v="3287.16"/>
    <x v="2"/>
    <x v="0"/>
    <d v="2023-03-09T00:00:00"/>
    <x v="1"/>
    <x v="0"/>
    <d v="2024-06-16T00:00:00"/>
    <x v="19"/>
    <x v="6"/>
    <n v="12"/>
    <x v="8"/>
    <n v="27"/>
    <x v="2"/>
    <s v="No"/>
  </r>
  <r>
    <s v="CUST-0377"/>
    <x v="1"/>
    <x v="0"/>
    <x v="8"/>
    <x v="2"/>
    <n v="26"/>
    <n v="137.75"/>
    <x v="0"/>
    <x v="3"/>
    <d v="2023-09-22T00:00:00"/>
    <x v="5"/>
    <x v="0"/>
    <d v="2023-12-09T00:00:00"/>
    <x v="5"/>
    <x v="2"/>
    <n v="12"/>
    <x v="5"/>
    <n v="33"/>
    <x v="2"/>
    <s v="No"/>
  </r>
  <r>
    <s v="CUST-0378"/>
    <x v="2"/>
    <x v="0"/>
    <x v="3"/>
    <x v="2"/>
    <n v="5"/>
    <n v="318.39999999999998"/>
    <x v="0"/>
    <x v="2"/>
    <d v="2022-05-11T00:00:00"/>
    <x v="11"/>
    <x v="0"/>
    <d v="2023-11-07T00:00:00"/>
    <x v="36"/>
    <x v="2"/>
    <n v="10"/>
    <x v="4"/>
    <n v="31"/>
    <x v="2"/>
    <s v="No"/>
  </r>
  <r>
    <s v="CUST-0379"/>
    <x v="1"/>
    <x v="1"/>
    <x v="4"/>
    <x v="4"/>
    <n v="62"/>
    <n v="250.2"/>
    <x v="5"/>
    <x v="2"/>
    <d v="2023-07-22T00:00:00"/>
    <x v="28"/>
    <x v="0"/>
    <d v="2023-08-24T00:00:00"/>
    <x v="11"/>
    <x v="7"/>
    <n v="13"/>
    <x v="4"/>
    <n v="10"/>
    <x v="0"/>
    <s v="No"/>
  </r>
  <r>
    <s v="CUST-0380"/>
    <x v="2"/>
    <x v="1"/>
    <x v="3"/>
    <x v="4"/>
    <n v="150"/>
    <n v="3949.65"/>
    <x v="0"/>
    <x v="0"/>
    <d v="2024-04-07T00:00:00"/>
    <x v="42"/>
    <x v="1"/>
    <m/>
    <x v="1"/>
    <x v="1"/>
    <n v="7"/>
    <x v="6"/>
    <n v="67"/>
    <x v="1"/>
    <s v="No"/>
  </r>
  <r>
    <s v="CUST-0381"/>
    <x v="1"/>
    <x v="1"/>
    <x v="2"/>
    <x v="4"/>
    <n v="126"/>
    <n v="486.84"/>
    <x v="1"/>
    <x v="2"/>
    <d v="2022-08-26T00:00:00"/>
    <x v="36"/>
    <x v="1"/>
    <m/>
    <x v="1"/>
    <x v="1"/>
    <n v="11"/>
    <x v="8"/>
    <n v="74"/>
    <x v="1"/>
    <s v="No"/>
  </r>
  <r>
    <s v="CUST-0382"/>
    <x v="1"/>
    <x v="0"/>
    <x v="0"/>
    <x v="2"/>
    <n v="24"/>
    <n v="129.05000000000001"/>
    <x v="0"/>
    <x v="0"/>
    <d v="2023-01-14T00:00:00"/>
    <x v="3"/>
    <x v="0"/>
    <d v="2025-09-22T00:00:00"/>
    <x v="27"/>
    <x v="0"/>
    <n v="11"/>
    <x v="5"/>
    <n v="16"/>
    <x v="0"/>
    <s v="No"/>
  </r>
  <r>
    <s v="CUST-0383"/>
    <x v="0"/>
    <x v="1"/>
    <x v="4"/>
    <x v="3"/>
    <n v="4"/>
    <n v="97.37"/>
    <x v="3"/>
    <x v="0"/>
    <d v="2025-02-27T00:00:00"/>
    <x v="45"/>
    <x v="0"/>
    <d v="2025-11-09T00:00:00"/>
    <x v="22"/>
    <x v="3"/>
    <n v="0"/>
    <x v="1"/>
    <n v="29"/>
    <x v="2"/>
    <s v="No"/>
  </r>
  <r>
    <s v="CUST-0384"/>
    <x v="3"/>
    <x v="0"/>
    <x v="9"/>
    <x v="4"/>
    <n v="141"/>
    <n v="10978"/>
    <x v="4"/>
    <x v="1"/>
    <d v="2022-09-24T00:00:00"/>
    <x v="30"/>
    <x v="1"/>
    <m/>
    <x v="1"/>
    <x v="1"/>
    <n v="6"/>
    <x v="3"/>
    <n v="49"/>
    <x v="2"/>
    <s v="No"/>
  </r>
  <r>
    <s v="CUST-0385"/>
    <x v="1"/>
    <x v="1"/>
    <x v="0"/>
    <x v="4"/>
    <n v="142"/>
    <n v="546"/>
    <x v="4"/>
    <x v="0"/>
    <d v="2023-09-02T00:00:00"/>
    <x v="5"/>
    <x v="0"/>
    <d v="2023-09-30T00:00:00"/>
    <x v="33"/>
    <x v="6"/>
    <n v="13"/>
    <x v="3"/>
    <n v="31"/>
    <x v="2"/>
    <s v="No"/>
  </r>
  <r>
    <s v="CUST-0386"/>
    <x v="0"/>
    <x v="0"/>
    <x v="2"/>
    <x v="3"/>
    <n v="4"/>
    <n v="114.55"/>
    <x v="3"/>
    <x v="3"/>
    <d v="2025-08-20T00:00:00"/>
    <x v="34"/>
    <x v="0"/>
    <d v="2025-12-13T00:00:00"/>
    <x v="34"/>
    <x v="4"/>
    <n v="7"/>
    <x v="5"/>
    <n v="24"/>
    <x v="2"/>
    <s v="No"/>
  </r>
  <r>
    <s v="CUST-0387"/>
    <x v="1"/>
    <x v="0"/>
    <x v="8"/>
    <x v="3"/>
    <n v="3"/>
    <n v="37.700000000000003"/>
    <x v="3"/>
    <x v="0"/>
    <d v="2023-07-30T00:00:00"/>
    <x v="28"/>
    <x v="0"/>
    <d v="2023-12-10T00:00:00"/>
    <x v="5"/>
    <x v="0"/>
    <n v="11"/>
    <x v="5"/>
    <n v="46"/>
    <x v="2"/>
    <s v="No"/>
  </r>
  <r>
    <s v="CUST-0388"/>
    <x v="0"/>
    <x v="1"/>
    <x v="9"/>
    <x v="2"/>
    <n v="31"/>
    <n v="369.33"/>
    <x v="2"/>
    <x v="2"/>
    <d v="2023-05-25T00:00:00"/>
    <x v="24"/>
    <x v="1"/>
    <m/>
    <x v="1"/>
    <x v="1"/>
    <n v="11"/>
    <x v="1"/>
    <n v="66"/>
    <x v="1"/>
    <s v="No"/>
  </r>
  <r>
    <s v="CUST-0389"/>
    <x v="0"/>
    <x v="1"/>
    <x v="5"/>
    <x v="4"/>
    <n v="94"/>
    <n v="1003.89"/>
    <x v="3"/>
    <x v="3"/>
    <d v="2024-06-27T00:00:00"/>
    <x v="19"/>
    <x v="1"/>
    <m/>
    <x v="1"/>
    <x v="1"/>
    <n v="7"/>
    <x v="2"/>
    <n v="62"/>
    <x v="1"/>
    <s v="No"/>
  </r>
  <r>
    <s v="CUST-0390"/>
    <x v="0"/>
    <x v="0"/>
    <x v="3"/>
    <x v="4"/>
    <n v="38"/>
    <n v="517.45000000000005"/>
    <x v="4"/>
    <x v="0"/>
    <d v="2023-05-13T00:00:00"/>
    <x v="24"/>
    <x v="0"/>
    <d v="2024-07-27T00:00:00"/>
    <x v="13"/>
    <x v="2"/>
    <n v="4"/>
    <x v="1"/>
    <n v="44"/>
    <x v="2"/>
    <s v="No"/>
  </r>
  <r>
    <s v="CUST-0391"/>
    <x v="1"/>
    <x v="1"/>
    <x v="3"/>
    <x v="3"/>
    <n v="8"/>
    <n v="50.53"/>
    <x v="4"/>
    <x v="1"/>
    <d v="2022-10-31T00:00:00"/>
    <x v="33"/>
    <x v="0"/>
    <d v="2024-06-10T00:00:00"/>
    <x v="19"/>
    <x v="6"/>
    <n v="2"/>
    <x v="4"/>
    <n v="17"/>
    <x v="0"/>
    <s v="No"/>
  </r>
  <r>
    <s v="CUST-0392"/>
    <x v="1"/>
    <x v="0"/>
    <x v="5"/>
    <x v="2"/>
    <n v="19"/>
    <n v="107.3"/>
    <x v="4"/>
    <x v="0"/>
    <d v="2024-03-10T00:00:00"/>
    <x v="6"/>
    <x v="0"/>
    <d v="2024-05-06T00:00:00"/>
    <x v="8"/>
    <x v="7"/>
    <n v="9"/>
    <x v="8"/>
    <n v="18"/>
    <x v="0"/>
    <s v="No"/>
  </r>
  <r>
    <s v="CUST-0393"/>
    <x v="0"/>
    <x v="0"/>
    <x v="5"/>
    <x v="0"/>
    <n v="39"/>
    <n v="529.29999999999995"/>
    <x v="1"/>
    <x v="0"/>
    <d v="2025-02-13T00:00:00"/>
    <x v="45"/>
    <x v="1"/>
    <m/>
    <x v="1"/>
    <x v="1"/>
    <n v="1"/>
    <x v="9"/>
    <n v="49"/>
    <x v="2"/>
    <s v="No"/>
  </r>
  <r>
    <s v="CUST-0394"/>
    <x v="0"/>
    <x v="1"/>
    <x v="2"/>
    <x v="2"/>
    <n v="19"/>
    <n v="248.46"/>
    <x v="0"/>
    <x v="0"/>
    <d v="2024-03-28T00:00:00"/>
    <x v="6"/>
    <x v="1"/>
    <m/>
    <x v="1"/>
    <x v="1"/>
    <n v="5"/>
    <x v="4"/>
    <n v="23"/>
    <x v="2"/>
    <s v="No"/>
  </r>
  <r>
    <s v="CUST-0395"/>
    <x v="2"/>
    <x v="0"/>
    <x v="1"/>
    <x v="3"/>
    <n v="4"/>
    <n v="288.55"/>
    <x v="0"/>
    <x v="1"/>
    <d v="2024-03-12T00:00:00"/>
    <x v="6"/>
    <x v="1"/>
    <m/>
    <x v="1"/>
    <x v="1"/>
    <n v="0"/>
    <x v="1"/>
    <n v="39"/>
    <x v="2"/>
    <s v="No"/>
  </r>
  <r>
    <s v="CUST-0396"/>
    <x v="0"/>
    <x v="0"/>
    <x v="7"/>
    <x v="3"/>
    <n v="7"/>
    <n v="150.1"/>
    <x v="3"/>
    <x v="1"/>
    <d v="2023-10-18T00:00:00"/>
    <x v="40"/>
    <x v="1"/>
    <m/>
    <x v="1"/>
    <x v="1"/>
    <n v="3"/>
    <x v="2"/>
    <n v="73"/>
    <x v="1"/>
    <s v="No"/>
  </r>
  <r>
    <s v="CUST-0397"/>
    <x v="1"/>
    <x v="1"/>
    <x v="2"/>
    <x v="2"/>
    <n v="5"/>
    <n v="39.44"/>
    <x v="0"/>
    <x v="1"/>
    <d v="2024-08-14T00:00:00"/>
    <x v="44"/>
    <x v="0"/>
    <d v="2024-10-27T00:00:00"/>
    <x v="25"/>
    <x v="5"/>
    <n v="2"/>
    <x v="5"/>
    <n v="39"/>
    <x v="2"/>
    <s v="No"/>
  </r>
  <r>
    <s v="CUST-0398"/>
    <x v="2"/>
    <x v="1"/>
    <x v="1"/>
    <x v="1"/>
    <n v="252"/>
    <n v="6537.65"/>
    <x v="0"/>
    <x v="0"/>
    <d v="2023-04-28T00:00:00"/>
    <x v="23"/>
    <x v="0"/>
    <d v="2023-05-22T00:00:00"/>
    <x v="17"/>
    <x v="0"/>
    <n v="9"/>
    <x v="4"/>
    <n v="44"/>
    <x v="2"/>
    <s v="No"/>
  </r>
  <r>
    <s v="CUST-0399"/>
    <x v="2"/>
    <x v="1"/>
    <x v="2"/>
    <x v="4"/>
    <n v="86"/>
    <n v="2325.81"/>
    <x v="4"/>
    <x v="0"/>
    <d v="2023-10-10T00:00:00"/>
    <x v="40"/>
    <x v="0"/>
    <d v="2025-11-23T00:00:00"/>
    <x v="22"/>
    <x v="3"/>
    <n v="0"/>
    <x v="3"/>
    <n v="11"/>
    <x v="0"/>
    <s v="No"/>
  </r>
  <r>
    <s v="CUST-0400"/>
    <x v="1"/>
    <x v="1"/>
    <x v="7"/>
    <x v="3"/>
    <n v="5"/>
    <n v="39.44"/>
    <x v="2"/>
    <x v="0"/>
    <d v="2022-07-29T00:00:00"/>
    <x v="16"/>
    <x v="0"/>
    <d v="2024-07-19T00:00:00"/>
    <x v="13"/>
    <x v="4"/>
    <n v="3"/>
    <x v="5"/>
    <n v="34"/>
    <x v="2"/>
    <s v="No"/>
  </r>
  <r>
    <s v="CUST-0401"/>
    <x v="2"/>
    <x v="1"/>
    <x v="6"/>
    <x v="3"/>
    <n v="7"/>
    <n v="321.38"/>
    <x v="0"/>
    <x v="0"/>
    <d v="2024-11-06T00:00:00"/>
    <x v="43"/>
    <x v="1"/>
    <m/>
    <x v="1"/>
    <x v="1"/>
    <n v="9"/>
    <x v="6"/>
    <n v="30"/>
    <x v="2"/>
    <s v="No"/>
  </r>
  <r>
    <s v="CUST-0402"/>
    <x v="0"/>
    <x v="1"/>
    <x v="5"/>
    <x v="0"/>
    <n v="34"/>
    <n v="399.54"/>
    <x v="3"/>
    <x v="1"/>
    <d v="2022-04-04T00:00:00"/>
    <x v="27"/>
    <x v="0"/>
    <d v="2024-08-24T00:00:00"/>
    <x v="40"/>
    <x v="5"/>
    <n v="14"/>
    <x v="5"/>
    <n v="34"/>
    <x v="2"/>
    <s v="No"/>
  </r>
  <r>
    <s v="CUST-0403"/>
    <x v="2"/>
    <x v="0"/>
    <x v="9"/>
    <x v="3"/>
    <n v="8"/>
    <n v="407.95"/>
    <x v="0"/>
    <x v="0"/>
    <d v="2023-01-22T00:00:00"/>
    <x v="3"/>
    <x v="0"/>
    <d v="2024-08-27T00:00:00"/>
    <x v="40"/>
    <x v="2"/>
    <n v="13"/>
    <x v="8"/>
    <n v="25"/>
    <x v="2"/>
    <s v="No"/>
  </r>
  <r>
    <s v="CUST-0404"/>
    <x v="2"/>
    <x v="0"/>
    <x v="6"/>
    <x v="0"/>
    <n v="43"/>
    <n v="1452.7"/>
    <x v="2"/>
    <x v="0"/>
    <d v="2025-09-25T00:00:00"/>
    <x v="4"/>
    <x v="1"/>
    <m/>
    <x v="1"/>
    <x v="1"/>
    <n v="4"/>
    <x v="8"/>
    <n v="79"/>
    <x v="1"/>
    <s v="No"/>
  </r>
  <r>
    <s v="CUST-0405"/>
    <x v="2"/>
    <x v="0"/>
    <x v="3"/>
    <x v="2"/>
    <n v="7"/>
    <n v="378.1"/>
    <x v="4"/>
    <x v="0"/>
    <d v="2025-02-23T00:00:00"/>
    <x v="45"/>
    <x v="1"/>
    <m/>
    <x v="1"/>
    <x v="1"/>
    <n v="11"/>
    <x v="5"/>
    <n v="29"/>
    <x v="2"/>
    <s v="Yes"/>
  </r>
  <r>
    <s v="CUST-0406"/>
    <x v="2"/>
    <x v="0"/>
    <x v="0"/>
    <x v="0"/>
    <n v="29"/>
    <n v="1034.8"/>
    <x v="1"/>
    <x v="0"/>
    <d v="2023-02-22T00:00:00"/>
    <x v="38"/>
    <x v="0"/>
    <d v="2025-09-29T00:00:00"/>
    <x v="27"/>
    <x v="7"/>
    <n v="14"/>
    <x v="1"/>
    <n v="41"/>
    <x v="2"/>
    <s v="No"/>
  </r>
  <r>
    <s v="CUST-0407"/>
    <x v="0"/>
    <x v="1"/>
    <x v="9"/>
    <x v="1"/>
    <n v="115"/>
    <n v="1215.4100000000001"/>
    <x v="3"/>
    <x v="1"/>
    <d v="2022-09-12T00:00:00"/>
    <x v="30"/>
    <x v="0"/>
    <d v="2023-04-03T00:00:00"/>
    <x v="4"/>
    <x v="7"/>
    <n v="7"/>
    <x v="1"/>
    <n v="48"/>
    <x v="2"/>
    <s v="No"/>
  </r>
  <r>
    <s v="CUST-0408"/>
    <x v="1"/>
    <x v="0"/>
    <x v="1"/>
    <x v="0"/>
    <n v="75"/>
    <n v="350.9"/>
    <x v="4"/>
    <x v="0"/>
    <d v="2025-10-14T00:00:00"/>
    <x v="39"/>
    <x v="1"/>
    <m/>
    <x v="1"/>
    <x v="1"/>
    <n v="10"/>
    <x v="7"/>
    <n v="92"/>
    <x v="3"/>
    <s v="No"/>
  </r>
  <r>
    <s v="CUST-0409"/>
    <x v="1"/>
    <x v="0"/>
    <x v="3"/>
    <x v="3"/>
    <n v="8"/>
    <n v="59.45"/>
    <x v="3"/>
    <x v="0"/>
    <d v="2025-04-01T00:00:00"/>
    <x v="7"/>
    <x v="0"/>
    <d v="2025-04-19T00:00:00"/>
    <x v="2"/>
    <x v="2"/>
    <n v="11"/>
    <x v="3"/>
    <n v="27"/>
    <x v="2"/>
    <s v="No"/>
  </r>
  <r>
    <s v="CUST-0410"/>
    <x v="0"/>
    <x v="0"/>
    <x v="8"/>
    <x v="4"/>
    <n v="125"/>
    <n v="1548.4"/>
    <x v="3"/>
    <x v="0"/>
    <d v="2022-03-17T00:00:00"/>
    <x v="32"/>
    <x v="0"/>
    <d v="2023-06-19T00:00:00"/>
    <x v="6"/>
    <x v="0"/>
    <n v="14"/>
    <x v="1"/>
    <n v="12"/>
    <x v="0"/>
    <s v="No"/>
  </r>
  <r>
    <s v="CUST-0411"/>
    <x v="0"/>
    <x v="0"/>
    <x v="1"/>
    <x v="4"/>
    <n v="92"/>
    <n v="1157.3499999999999"/>
    <x v="4"/>
    <x v="1"/>
    <d v="2024-08-28T00:00:00"/>
    <x v="44"/>
    <x v="0"/>
    <d v="2025-10-02T00:00:00"/>
    <x v="41"/>
    <x v="0"/>
    <n v="13"/>
    <x v="5"/>
    <n v="18"/>
    <x v="0"/>
    <s v="No"/>
  </r>
  <r>
    <s v="CUST-0412"/>
    <x v="0"/>
    <x v="0"/>
    <x v="6"/>
    <x v="0"/>
    <n v="45"/>
    <n v="600.4"/>
    <x v="4"/>
    <x v="0"/>
    <d v="2022-11-25T00:00:00"/>
    <x v="35"/>
    <x v="0"/>
    <d v="2023-05-25T00:00:00"/>
    <x v="17"/>
    <x v="6"/>
    <n v="8"/>
    <x v="1"/>
    <n v="24"/>
    <x v="2"/>
    <s v="No"/>
  </r>
  <r>
    <s v="CUST-0413"/>
    <x v="2"/>
    <x v="1"/>
    <x v="2"/>
    <x v="4"/>
    <n v="49"/>
    <n v="1387.03"/>
    <x v="2"/>
    <x v="2"/>
    <d v="2022-10-13T00:00:00"/>
    <x v="33"/>
    <x v="1"/>
    <m/>
    <x v="1"/>
    <x v="1"/>
    <n v="0"/>
    <x v="6"/>
    <n v="95"/>
    <x v="3"/>
    <s v="No"/>
  </r>
  <r>
    <s v="CUST-0414"/>
    <x v="2"/>
    <x v="0"/>
    <x v="2"/>
    <x v="4"/>
    <n v="137"/>
    <n v="4258.6000000000004"/>
    <x v="3"/>
    <x v="2"/>
    <d v="2023-07-23T00:00:00"/>
    <x v="28"/>
    <x v="0"/>
    <d v="2024-08-12T00:00:00"/>
    <x v="40"/>
    <x v="7"/>
    <n v="15"/>
    <x v="5"/>
    <n v="25"/>
    <x v="2"/>
    <s v="No"/>
  </r>
  <r>
    <s v="CUST-0415"/>
    <x v="1"/>
    <x v="0"/>
    <x v="0"/>
    <x v="2"/>
    <n v="13"/>
    <n v="81.2"/>
    <x v="5"/>
    <x v="1"/>
    <d v="2024-09-08T00:00:00"/>
    <x v="46"/>
    <x v="0"/>
    <d v="2024-10-15T00:00:00"/>
    <x v="25"/>
    <x v="3"/>
    <n v="7"/>
    <x v="0"/>
    <n v="45"/>
    <x v="2"/>
    <s v="No"/>
  </r>
  <r>
    <s v="CUST-0416"/>
    <x v="2"/>
    <x v="1"/>
    <x v="3"/>
    <x v="2"/>
    <n v="14"/>
    <n v="498.99"/>
    <x v="5"/>
    <x v="1"/>
    <d v="2025-02-18T00:00:00"/>
    <x v="45"/>
    <x v="0"/>
    <d v="2025-05-18T00:00:00"/>
    <x v="30"/>
    <x v="7"/>
    <n v="13"/>
    <x v="5"/>
    <n v="33"/>
    <x v="2"/>
    <s v="No"/>
  </r>
  <r>
    <s v="CUST-0417"/>
    <x v="1"/>
    <x v="1"/>
    <x v="2"/>
    <x v="2"/>
    <n v="18"/>
    <n v="87.51"/>
    <x v="0"/>
    <x v="3"/>
    <d v="2024-08-17T00:00:00"/>
    <x v="44"/>
    <x v="0"/>
    <d v="2024-10-30T00:00:00"/>
    <x v="25"/>
    <x v="0"/>
    <n v="10"/>
    <x v="5"/>
    <n v="36"/>
    <x v="2"/>
    <s v="No"/>
  </r>
  <r>
    <s v="CUST-0418"/>
    <x v="1"/>
    <x v="0"/>
    <x v="9"/>
    <x v="3"/>
    <n v="2"/>
    <n v="33.35"/>
    <x v="5"/>
    <x v="3"/>
    <d v="2022-10-05T00:00:00"/>
    <x v="33"/>
    <x v="0"/>
    <d v="2023-07-03T00:00:00"/>
    <x v="39"/>
    <x v="3"/>
    <n v="11"/>
    <x v="5"/>
    <n v="37"/>
    <x v="2"/>
    <s v="No"/>
  </r>
  <r>
    <s v="CUST-0419"/>
    <x v="0"/>
    <x v="1"/>
    <x v="3"/>
    <x v="4"/>
    <n v="143"/>
    <n v="1497.45"/>
    <x v="0"/>
    <x v="1"/>
    <d v="2022-04-04T00:00:00"/>
    <x v="27"/>
    <x v="1"/>
    <m/>
    <x v="1"/>
    <x v="1"/>
    <n v="2"/>
    <x v="6"/>
    <n v="29"/>
    <x v="2"/>
    <s v="Yes"/>
  </r>
  <r>
    <s v="CUST-0420"/>
    <x v="0"/>
    <x v="0"/>
    <x v="0"/>
    <x v="3"/>
    <n v="8"/>
    <n v="161.94999999999999"/>
    <x v="3"/>
    <x v="0"/>
    <d v="2022-03-07T00:00:00"/>
    <x v="32"/>
    <x v="0"/>
    <d v="2024-02-27T00:00:00"/>
    <x v="18"/>
    <x v="7"/>
    <n v="7"/>
    <x v="3"/>
    <n v="10"/>
    <x v="0"/>
    <s v="No"/>
  </r>
  <r>
    <s v="CUST-0421"/>
    <x v="0"/>
    <x v="0"/>
    <x v="3"/>
    <x v="1"/>
    <n v="185"/>
    <n v="2259.4"/>
    <x v="4"/>
    <x v="0"/>
    <d v="2022-09-26T00:00:00"/>
    <x v="30"/>
    <x v="0"/>
    <d v="2023-01-27T00:00:00"/>
    <x v="9"/>
    <x v="2"/>
    <n v="10"/>
    <x v="4"/>
    <n v="29"/>
    <x v="2"/>
    <s v="No"/>
  </r>
  <r>
    <s v="CUST-0422"/>
    <x v="0"/>
    <x v="0"/>
    <x v="9"/>
    <x v="0"/>
    <n v="59"/>
    <n v="766.3"/>
    <x v="5"/>
    <x v="0"/>
    <d v="2023-04-14T00:00:00"/>
    <x v="23"/>
    <x v="1"/>
    <m/>
    <x v="1"/>
    <x v="1"/>
    <n v="3"/>
    <x v="2"/>
    <n v="92"/>
    <x v="3"/>
    <s v="Yes"/>
  </r>
  <r>
    <s v="CUST-0423"/>
    <x v="1"/>
    <x v="0"/>
    <x v="3"/>
    <x v="2"/>
    <n v="15"/>
    <n v="89.9"/>
    <x v="3"/>
    <x v="1"/>
    <d v="2023-10-29T00:00:00"/>
    <x v="40"/>
    <x v="0"/>
    <d v="2024-06-25T00:00:00"/>
    <x v="19"/>
    <x v="0"/>
    <n v="4"/>
    <x v="8"/>
    <n v="20"/>
    <x v="0"/>
    <s v="No"/>
  </r>
  <r>
    <s v="CUST-0424"/>
    <x v="1"/>
    <x v="0"/>
    <x v="5"/>
    <x v="3"/>
    <n v="5"/>
    <n v="46.4"/>
    <x v="3"/>
    <x v="1"/>
    <d v="2023-04-25T00:00:00"/>
    <x v="23"/>
    <x v="0"/>
    <d v="2024-08-21T00:00:00"/>
    <x v="40"/>
    <x v="4"/>
    <n v="11"/>
    <x v="4"/>
    <n v="50"/>
    <x v="2"/>
    <s v="No"/>
  </r>
  <r>
    <s v="CUST-0425"/>
    <x v="1"/>
    <x v="0"/>
    <x v="4"/>
    <x v="3"/>
    <n v="6"/>
    <n v="50.75"/>
    <x v="3"/>
    <x v="2"/>
    <d v="2025-03-15T00:00:00"/>
    <x v="29"/>
    <x v="0"/>
    <d v="2025-07-31T00:00:00"/>
    <x v="20"/>
    <x v="6"/>
    <n v="6"/>
    <x v="3"/>
    <n v="22"/>
    <x v="2"/>
    <s v="No"/>
  </r>
  <r>
    <s v="CUST-0426"/>
    <x v="2"/>
    <x v="0"/>
    <x v="7"/>
    <x v="3"/>
    <n v="7"/>
    <n v="378.1"/>
    <x v="0"/>
    <x v="0"/>
    <d v="2024-03-06T00:00:00"/>
    <x v="6"/>
    <x v="1"/>
    <m/>
    <x v="1"/>
    <x v="1"/>
    <n v="10"/>
    <x v="9"/>
    <n v="68"/>
    <x v="1"/>
    <s v="Yes"/>
  </r>
  <r>
    <s v="CUST-0427"/>
    <x v="1"/>
    <x v="1"/>
    <x v="2"/>
    <x v="0"/>
    <n v="79"/>
    <n v="313.05"/>
    <x v="4"/>
    <x v="3"/>
    <d v="2024-12-25T00:00:00"/>
    <x v="13"/>
    <x v="1"/>
    <m/>
    <x v="1"/>
    <x v="1"/>
    <n v="6"/>
    <x v="2"/>
    <n v="37"/>
    <x v="2"/>
    <s v="No"/>
  </r>
  <r>
    <s v="CUST-0428"/>
    <x v="1"/>
    <x v="0"/>
    <x v="2"/>
    <x v="2"/>
    <n v="11"/>
    <n v="72.5"/>
    <x v="0"/>
    <x v="0"/>
    <d v="2025-10-18T00:00:00"/>
    <x v="39"/>
    <x v="1"/>
    <m/>
    <x v="1"/>
    <x v="1"/>
    <n v="1"/>
    <x v="1"/>
    <n v="24"/>
    <x v="2"/>
    <s v="No"/>
  </r>
  <r>
    <s v="CUST-0429"/>
    <x v="0"/>
    <x v="0"/>
    <x v="5"/>
    <x v="2"/>
    <n v="15"/>
    <n v="244.9"/>
    <x v="4"/>
    <x v="1"/>
    <d v="2025-06-09T00:00:00"/>
    <x v="47"/>
    <x v="1"/>
    <m/>
    <x v="1"/>
    <x v="1"/>
    <n v="8"/>
    <x v="8"/>
    <n v="32"/>
    <x v="2"/>
    <s v="No"/>
  </r>
  <r>
    <s v="CUST-0430"/>
    <x v="2"/>
    <x v="0"/>
    <x v="7"/>
    <x v="2"/>
    <n v="20"/>
    <n v="766.15"/>
    <x v="3"/>
    <x v="1"/>
    <d v="2025-11-05T00:00:00"/>
    <x v="41"/>
    <x v="1"/>
    <m/>
    <x v="1"/>
    <x v="1"/>
    <n v="2"/>
    <x v="6"/>
    <n v="39"/>
    <x v="2"/>
    <s v="No"/>
  </r>
  <r>
    <s v="CUST-0431"/>
    <x v="1"/>
    <x v="1"/>
    <x v="2"/>
    <x v="2"/>
    <n v="27"/>
    <n v="120.78"/>
    <x v="0"/>
    <x v="2"/>
    <d v="2025-10-03T00:00:00"/>
    <x v="39"/>
    <x v="1"/>
    <m/>
    <x v="1"/>
    <x v="1"/>
    <n v="3"/>
    <x v="7"/>
    <n v="22"/>
    <x v="2"/>
    <s v="No"/>
  </r>
  <r>
    <s v="CUST-0432"/>
    <x v="0"/>
    <x v="1"/>
    <x v="7"/>
    <x v="0"/>
    <n v="28"/>
    <n v="339.11"/>
    <x v="0"/>
    <x v="0"/>
    <d v="2025-05-10T00:00:00"/>
    <x v="18"/>
    <x v="1"/>
    <m/>
    <x v="1"/>
    <x v="1"/>
    <n v="2"/>
    <x v="5"/>
    <n v="51"/>
    <x v="1"/>
    <s v="No"/>
  </r>
  <r>
    <s v="CUST-0433"/>
    <x v="3"/>
    <x v="0"/>
    <x v="2"/>
    <x v="2"/>
    <n v="25"/>
    <n v="2295.4"/>
    <x v="0"/>
    <x v="0"/>
    <d v="2023-08-13T00:00:00"/>
    <x v="15"/>
    <x v="0"/>
    <d v="2024-02-25T00:00:00"/>
    <x v="18"/>
    <x v="6"/>
    <n v="1"/>
    <x v="5"/>
    <n v="34"/>
    <x v="2"/>
    <s v="No"/>
  </r>
  <r>
    <s v="CUST-0434"/>
    <x v="1"/>
    <x v="1"/>
    <x v="2"/>
    <x v="1"/>
    <n v="222"/>
    <n v="841.8"/>
    <x v="3"/>
    <x v="0"/>
    <d v="2022-10-17T00:00:00"/>
    <x v="33"/>
    <x v="0"/>
    <d v="2024-12-05T00:00:00"/>
    <x v="10"/>
    <x v="2"/>
    <n v="8"/>
    <x v="3"/>
    <n v="47"/>
    <x v="2"/>
    <s v="No"/>
  </r>
  <r>
    <s v="CUST-0435"/>
    <x v="1"/>
    <x v="0"/>
    <x v="0"/>
    <x v="3"/>
    <n v="4"/>
    <n v="42.05"/>
    <x v="3"/>
    <x v="3"/>
    <d v="2023-02-09T00:00:00"/>
    <x v="38"/>
    <x v="0"/>
    <d v="2023-08-27T00:00:00"/>
    <x v="11"/>
    <x v="2"/>
    <n v="5"/>
    <x v="0"/>
    <n v="10"/>
    <x v="0"/>
    <s v="No"/>
  </r>
  <r>
    <s v="CUST-0436"/>
    <x v="2"/>
    <x v="1"/>
    <x v="1"/>
    <x v="0"/>
    <n v="48"/>
    <n v="1361.66"/>
    <x v="4"/>
    <x v="3"/>
    <d v="2022-12-11T00:00:00"/>
    <x v="8"/>
    <x v="0"/>
    <d v="2024-11-04T00:00:00"/>
    <x v="15"/>
    <x v="5"/>
    <n v="7"/>
    <x v="5"/>
    <n v="28"/>
    <x v="2"/>
    <s v="No"/>
  </r>
  <r>
    <s v="CUST-0437"/>
    <x v="1"/>
    <x v="0"/>
    <x v="7"/>
    <x v="2"/>
    <n v="6"/>
    <n v="50.75"/>
    <x v="3"/>
    <x v="2"/>
    <d v="2023-04-10T00:00:00"/>
    <x v="23"/>
    <x v="0"/>
    <d v="2023-06-09T00:00:00"/>
    <x v="6"/>
    <x v="2"/>
    <n v="5"/>
    <x v="0"/>
    <n v="18"/>
    <x v="0"/>
    <s v="No"/>
  </r>
  <r>
    <s v="CUST-0438"/>
    <x v="1"/>
    <x v="1"/>
    <x v="4"/>
    <x v="0"/>
    <n v="44"/>
    <n v="183.64"/>
    <x v="4"/>
    <x v="1"/>
    <d v="2024-11-01T00:00:00"/>
    <x v="43"/>
    <x v="0"/>
    <d v="2024-11-03T00:00:00"/>
    <x v="15"/>
    <x v="0"/>
    <n v="5"/>
    <x v="4"/>
    <n v="31"/>
    <x v="2"/>
    <s v="No"/>
  </r>
  <r>
    <s v="CUST-0439"/>
    <x v="2"/>
    <x v="0"/>
    <x v="9"/>
    <x v="1"/>
    <n v="62"/>
    <n v="2019.85"/>
    <x v="1"/>
    <x v="1"/>
    <d v="2025-06-08T00:00:00"/>
    <x v="47"/>
    <x v="0"/>
    <d v="2025-07-18T00:00:00"/>
    <x v="20"/>
    <x v="5"/>
    <n v="9"/>
    <x v="1"/>
    <n v="34"/>
    <x v="2"/>
    <s v="No"/>
  </r>
  <r>
    <s v="CUST-0440"/>
    <x v="2"/>
    <x v="1"/>
    <x v="6"/>
    <x v="3"/>
    <n v="8"/>
    <n v="346.76"/>
    <x v="3"/>
    <x v="3"/>
    <d v="2025-12-01T00:00:00"/>
    <x v="21"/>
    <x v="1"/>
    <m/>
    <x v="1"/>
    <x v="1"/>
    <n v="1"/>
    <x v="9"/>
    <n v="50"/>
    <x v="2"/>
    <s v="No"/>
  </r>
  <r>
    <s v="CUST-0441"/>
    <x v="0"/>
    <x v="1"/>
    <x v="2"/>
    <x v="4"/>
    <n v="88"/>
    <n v="943.46"/>
    <x v="4"/>
    <x v="0"/>
    <d v="2023-08-13T00:00:00"/>
    <x v="15"/>
    <x v="0"/>
    <d v="2024-01-17T00:00:00"/>
    <x v="28"/>
    <x v="3"/>
    <n v="8"/>
    <x v="1"/>
    <n v="44"/>
    <x v="2"/>
    <s v="No"/>
  </r>
  <r>
    <s v="CUST-0442"/>
    <x v="2"/>
    <x v="1"/>
    <x v="6"/>
    <x v="0"/>
    <n v="54"/>
    <n v="1513.89"/>
    <x v="4"/>
    <x v="2"/>
    <d v="2024-04-05T00:00:00"/>
    <x v="42"/>
    <x v="1"/>
    <m/>
    <x v="1"/>
    <x v="1"/>
    <n v="10"/>
    <x v="9"/>
    <n v="33"/>
    <x v="2"/>
    <s v="Yes"/>
  </r>
  <r>
    <s v="CUST-0443"/>
    <x v="0"/>
    <x v="0"/>
    <x v="8"/>
    <x v="0"/>
    <n v="58"/>
    <n v="754.45"/>
    <x v="0"/>
    <x v="0"/>
    <d v="2023-06-28T00:00:00"/>
    <x v="14"/>
    <x v="1"/>
    <m/>
    <x v="1"/>
    <x v="1"/>
    <n v="11"/>
    <x v="8"/>
    <n v="84"/>
    <x v="3"/>
    <s v="No"/>
  </r>
  <r>
    <s v="CUST-0444"/>
    <x v="2"/>
    <x v="0"/>
    <x v="7"/>
    <x v="3"/>
    <n v="5"/>
    <n v="318.39999999999998"/>
    <x v="0"/>
    <x v="3"/>
    <d v="2023-10-24T00:00:00"/>
    <x v="40"/>
    <x v="1"/>
    <m/>
    <x v="1"/>
    <x v="1"/>
    <n v="9"/>
    <x v="6"/>
    <n v="59"/>
    <x v="1"/>
    <s v="Yes"/>
  </r>
  <r>
    <s v="CUST-0445"/>
    <x v="1"/>
    <x v="0"/>
    <x v="2"/>
    <x v="1"/>
    <n v="254"/>
    <n v="1129.55"/>
    <x v="3"/>
    <x v="0"/>
    <d v="2025-05-02T00:00:00"/>
    <x v="18"/>
    <x v="1"/>
    <m/>
    <x v="1"/>
    <x v="1"/>
    <n v="2"/>
    <x v="2"/>
    <n v="42"/>
    <x v="2"/>
    <s v="No"/>
  </r>
  <r>
    <s v="CUST-0446"/>
    <x v="2"/>
    <x v="0"/>
    <x v="4"/>
    <x v="0"/>
    <n v="30"/>
    <n v="1064.6500000000001"/>
    <x v="4"/>
    <x v="1"/>
    <d v="2023-05-26T00:00:00"/>
    <x v="24"/>
    <x v="0"/>
    <d v="2024-03-13T00:00:00"/>
    <x v="0"/>
    <x v="0"/>
    <n v="10"/>
    <x v="0"/>
    <n v="44"/>
    <x v="2"/>
    <s v="No"/>
  </r>
  <r>
    <s v="CUST-0447"/>
    <x v="1"/>
    <x v="0"/>
    <x v="4"/>
    <x v="3"/>
    <n v="5"/>
    <n v="46.4"/>
    <x v="1"/>
    <x v="2"/>
    <d v="2023-10-17T00:00:00"/>
    <x v="40"/>
    <x v="1"/>
    <m/>
    <x v="1"/>
    <x v="1"/>
    <n v="0"/>
    <x v="6"/>
    <n v="46"/>
    <x v="2"/>
    <s v="No"/>
  </r>
  <r>
    <s v="CUST-0448"/>
    <x v="2"/>
    <x v="0"/>
    <x v="7"/>
    <x v="2"/>
    <n v="31"/>
    <n v="1094.5"/>
    <x v="4"/>
    <x v="0"/>
    <d v="2025-01-01T00:00:00"/>
    <x v="25"/>
    <x v="1"/>
    <m/>
    <x v="1"/>
    <x v="1"/>
    <n v="1"/>
    <x v="6"/>
    <n v="69"/>
    <x v="1"/>
    <s v="No"/>
  </r>
  <r>
    <s v="CUST-0449"/>
    <x v="2"/>
    <x v="0"/>
    <x v="6"/>
    <x v="1"/>
    <n v="71"/>
    <n v="2288.5"/>
    <x v="4"/>
    <x v="1"/>
    <d v="2024-02-12T00:00:00"/>
    <x v="17"/>
    <x v="0"/>
    <d v="2024-03-09T00:00:00"/>
    <x v="0"/>
    <x v="6"/>
    <n v="7"/>
    <x v="3"/>
    <n v="24"/>
    <x v="2"/>
    <s v="No"/>
  </r>
  <r>
    <s v="CUST-0450"/>
    <x v="0"/>
    <x v="1"/>
    <x v="0"/>
    <x v="2"/>
    <n v="8"/>
    <n v="137.66"/>
    <x v="2"/>
    <x v="0"/>
    <d v="2025-12-28T00:00:00"/>
    <x v="21"/>
    <x v="1"/>
    <m/>
    <x v="1"/>
    <x v="1"/>
    <n v="0"/>
    <x v="7"/>
    <n v="38"/>
    <x v="2"/>
    <s v="No"/>
  </r>
  <r>
    <s v="CUST-0451"/>
    <x v="2"/>
    <x v="0"/>
    <x v="8"/>
    <x v="2"/>
    <n v="27"/>
    <n v="975.1"/>
    <x v="2"/>
    <x v="0"/>
    <d v="2023-03-01T00:00:00"/>
    <x v="1"/>
    <x v="1"/>
    <m/>
    <x v="1"/>
    <x v="1"/>
    <n v="3"/>
    <x v="1"/>
    <n v="89"/>
    <x v="3"/>
    <s v="No"/>
  </r>
  <r>
    <s v="CUST-0452"/>
    <x v="0"/>
    <x v="0"/>
    <x v="4"/>
    <x v="2"/>
    <n v="12"/>
    <n v="209.35"/>
    <x v="4"/>
    <x v="0"/>
    <d v="2025-06-13T00:00:00"/>
    <x v="47"/>
    <x v="1"/>
    <m/>
    <x v="1"/>
    <x v="1"/>
    <n v="2"/>
    <x v="2"/>
    <n v="82"/>
    <x v="3"/>
    <s v="No"/>
  </r>
  <r>
    <s v="CUST-0453"/>
    <x v="1"/>
    <x v="0"/>
    <x v="0"/>
    <x v="3"/>
    <n v="1"/>
    <n v="29"/>
    <x v="1"/>
    <x v="3"/>
    <d v="2023-09-24T00:00:00"/>
    <x v="5"/>
    <x v="0"/>
    <d v="2023-10-21T00:00:00"/>
    <x v="31"/>
    <x v="5"/>
    <n v="2"/>
    <x v="5"/>
    <n v="27"/>
    <x v="2"/>
    <s v="No"/>
  </r>
  <r>
    <s v="CUST-0454"/>
    <x v="1"/>
    <x v="0"/>
    <x v="5"/>
    <x v="3"/>
    <n v="1"/>
    <n v="29"/>
    <x v="4"/>
    <x v="1"/>
    <d v="2025-07-09T00:00:00"/>
    <x v="20"/>
    <x v="0"/>
    <d v="2025-11-27T00:00:00"/>
    <x v="22"/>
    <x v="4"/>
    <n v="12"/>
    <x v="0"/>
    <n v="49"/>
    <x v="2"/>
    <s v="No"/>
  </r>
  <r>
    <s v="CUST-0455"/>
    <x v="1"/>
    <x v="0"/>
    <x v="6"/>
    <x v="2"/>
    <n v="8"/>
    <n v="59.45"/>
    <x v="0"/>
    <x v="1"/>
    <d v="2025-08-31T00:00:00"/>
    <x v="34"/>
    <x v="1"/>
    <m/>
    <x v="1"/>
    <x v="1"/>
    <n v="4"/>
    <x v="2"/>
    <n v="34"/>
    <x v="2"/>
    <s v="No"/>
  </r>
  <r>
    <s v="CUST-0456"/>
    <x v="0"/>
    <x v="1"/>
    <x v="7"/>
    <x v="3"/>
    <n v="4"/>
    <n v="97.37"/>
    <x v="1"/>
    <x v="0"/>
    <d v="2023-05-17T00:00:00"/>
    <x v="24"/>
    <x v="1"/>
    <m/>
    <x v="1"/>
    <x v="1"/>
    <n v="6"/>
    <x v="7"/>
    <n v="53"/>
    <x v="1"/>
    <s v="No"/>
  </r>
  <r>
    <s v="CUST-0457"/>
    <x v="0"/>
    <x v="1"/>
    <x v="8"/>
    <x v="0"/>
    <n v="39"/>
    <n v="449.9"/>
    <x v="1"/>
    <x v="2"/>
    <d v="2024-03-29T00:00:00"/>
    <x v="6"/>
    <x v="1"/>
    <m/>
    <x v="1"/>
    <x v="1"/>
    <n v="0"/>
    <x v="8"/>
    <n v="58"/>
    <x v="1"/>
    <s v="No"/>
  </r>
  <r>
    <s v="CUST-0458"/>
    <x v="2"/>
    <x v="1"/>
    <x v="3"/>
    <x v="4"/>
    <n v="73"/>
    <n v="1995.97"/>
    <x v="3"/>
    <x v="0"/>
    <d v="2025-04-02T00:00:00"/>
    <x v="7"/>
    <x v="1"/>
    <m/>
    <x v="1"/>
    <x v="1"/>
    <n v="12"/>
    <x v="5"/>
    <n v="15"/>
    <x v="0"/>
    <s v="Yes"/>
  </r>
  <r>
    <s v="CUST-0459"/>
    <x v="0"/>
    <x v="0"/>
    <x v="2"/>
    <x v="2"/>
    <n v="7"/>
    <n v="150.1"/>
    <x v="2"/>
    <x v="0"/>
    <d v="2022-12-20T00:00:00"/>
    <x v="8"/>
    <x v="0"/>
    <d v="2023-11-02T00:00:00"/>
    <x v="36"/>
    <x v="7"/>
    <n v="5"/>
    <x v="3"/>
    <n v="12"/>
    <x v="0"/>
    <s v="No"/>
  </r>
  <r>
    <s v="CUST-0460"/>
    <x v="2"/>
    <x v="1"/>
    <x v="1"/>
    <x v="2"/>
    <n v="33"/>
    <n v="981.07"/>
    <x v="2"/>
    <x v="2"/>
    <d v="2023-02-07T00:00:00"/>
    <x v="38"/>
    <x v="1"/>
    <m/>
    <x v="1"/>
    <x v="1"/>
    <n v="1"/>
    <x v="7"/>
    <n v="89"/>
    <x v="3"/>
    <s v="No"/>
  </r>
  <r>
    <s v="CUST-0461"/>
    <x v="1"/>
    <x v="0"/>
    <x v="7"/>
    <x v="3"/>
    <n v="3"/>
    <n v="37.700000000000003"/>
    <x v="2"/>
    <x v="1"/>
    <d v="2025-01-03T00:00:00"/>
    <x v="25"/>
    <x v="1"/>
    <m/>
    <x v="1"/>
    <x v="1"/>
    <n v="10"/>
    <x v="2"/>
    <n v="60"/>
    <x v="1"/>
    <s v="No"/>
  </r>
  <r>
    <s v="CUST-0462"/>
    <x v="0"/>
    <x v="1"/>
    <x v="7"/>
    <x v="3"/>
    <n v="5"/>
    <n v="107.44"/>
    <x v="1"/>
    <x v="1"/>
    <d v="2025-06-09T00:00:00"/>
    <x v="47"/>
    <x v="1"/>
    <m/>
    <x v="1"/>
    <x v="1"/>
    <n v="2"/>
    <x v="6"/>
    <n v="82"/>
    <x v="3"/>
    <s v="No"/>
  </r>
  <r>
    <s v="CUST-0463"/>
    <x v="0"/>
    <x v="0"/>
    <x v="7"/>
    <x v="2"/>
    <n v="5"/>
    <n v="126.4"/>
    <x v="5"/>
    <x v="0"/>
    <d v="2022-07-06T00:00:00"/>
    <x v="16"/>
    <x v="0"/>
    <d v="2022-10-08T00:00:00"/>
    <x v="43"/>
    <x v="6"/>
    <n v="1"/>
    <x v="3"/>
    <n v="17"/>
    <x v="0"/>
    <s v="No"/>
  </r>
  <r>
    <s v="CUST-0464"/>
    <x v="1"/>
    <x v="1"/>
    <x v="2"/>
    <x v="0"/>
    <n v="59"/>
    <n v="239.1"/>
    <x v="4"/>
    <x v="0"/>
    <d v="2025-10-18T00:00:00"/>
    <x v="39"/>
    <x v="1"/>
    <m/>
    <x v="1"/>
    <x v="1"/>
    <n v="12"/>
    <x v="6"/>
    <n v="72"/>
    <x v="1"/>
    <s v="No"/>
  </r>
  <r>
    <s v="CUST-0465"/>
    <x v="0"/>
    <x v="0"/>
    <x v="7"/>
    <x v="3"/>
    <n v="1"/>
    <n v="79"/>
    <x v="1"/>
    <x v="1"/>
    <d v="2025-12-24T00:00:00"/>
    <x v="21"/>
    <x v="1"/>
    <m/>
    <x v="1"/>
    <x v="1"/>
    <n v="11"/>
    <x v="8"/>
    <n v="84"/>
    <x v="3"/>
    <s v="No"/>
  </r>
  <r>
    <s v="CUST-0466"/>
    <x v="2"/>
    <x v="1"/>
    <x v="1"/>
    <x v="0"/>
    <n v="35"/>
    <n v="1031.82"/>
    <x v="4"/>
    <x v="1"/>
    <d v="2024-04-27T00:00:00"/>
    <x v="42"/>
    <x v="1"/>
    <m/>
    <x v="1"/>
    <x v="1"/>
    <n v="4"/>
    <x v="7"/>
    <n v="41"/>
    <x v="2"/>
    <s v="No"/>
  </r>
  <r>
    <s v="CUST-0467"/>
    <x v="1"/>
    <x v="1"/>
    <x v="6"/>
    <x v="4"/>
    <n v="112"/>
    <n v="435.07"/>
    <x v="3"/>
    <x v="3"/>
    <d v="2022-10-27T00:00:00"/>
    <x v="33"/>
    <x v="0"/>
    <d v="2023-06-19T00:00:00"/>
    <x v="6"/>
    <x v="3"/>
    <n v="12"/>
    <x v="5"/>
    <n v="34"/>
    <x v="2"/>
    <s v="No"/>
  </r>
  <r>
    <s v="CUST-0468"/>
    <x v="3"/>
    <x v="1"/>
    <x v="4"/>
    <x v="2"/>
    <n v="10"/>
    <n v="996.75"/>
    <x v="3"/>
    <x v="0"/>
    <d v="2024-05-12T00:00:00"/>
    <x v="22"/>
    <x v="1"/>
    <m/>
    <x v="1"/>
    <x v="1"/>
    <n v="3"/>
    <x v="5"/>
    <n v="64"/>
    <x v="1"/>
    <s v="No"/>
  </r>
  <r>
    <s v="CUST-0469"/>
    <x v="2"/>
    <x v="1"/>
    <x v="5"/>
    <x v="3"/>
    <n v="3"/>
    <n v="219.9"/>
    <x v="4"/>
    <x v="1"/>
    <d v="2025-12-19T00:00:00"/>
    <x v="21"/>
    <x v="1"/>
    <m/>
    <x v="1"/>
    <x v="1"/>
    <n v="8"/>
    <x v="3"/>
    <n v="45"/>
    <x v="2"/>
    <s v="No"/>
  </r>
  <r>
    <s v="CUST-0470"/>
    <x v="0"/>
    <x v="0"/>
    <x v="2"/>
    <x v="3"/>
    <n v="5"/>
    <n v="126.4"/>
    <x v="1"/>
    <x v="0"/>
    <d v="2024-10-12T00:00:00"/>
    <x v="2"/>
    <x v="0"/>
    <d v="2025-04-09T00:00:00"/>
    <x v="2"/>
    <x v="4"/>
    <n v="4"/>
    <x v="5"/>
    <n v="21"/>
    <x v="2"/>
    <s v="No"/>
  </r>
  <r>
    <s v="CUST-0471"/>
    <x v="2"/>
    <x v="1"/>
    <x v="2"/>
    <x v="0"/>
    <n v="62"/>
    <n v="1716.87"/>
    <x v="4"/>
    <x v="0"/>
    <d v="2023-09-22T00:00:00"/>
    <x v="5"/>
    <x v="0"/>
    <d v="2025-06-03T00:00:00"/>
    <x v="3"/>
    <x v="6"/>
    <n v="10"/>
    <x v="1"/>
    <n v="28"/>
    <x v="2"/>
    <s v="No"/>
  </r>
  <r>
    <s v="CUST-0472"/>
    <x v="1"/>
    <x v="1"/>
    <x v="2"/>
    <x v="2"/>
    <n v="5"/>
    <n v="39.44"/>
    <x v="2"/>
    <x v="2"/>
    <d v="2022-08-31T00:00:00"/>
    <x v="36"/>
    <x v="0"/>
    <d v="2022-12-25T00:00:00"/>
    <x v="45"/>
    <x v="2"/>
    <n v="12"/>
    <x v="5"/>
    <n v="44"/>
    <x v="2"/>
    <s v="No"/>
  </r>
  <r>
    <s v="CUST-0473"/>
    <x v="1"/>
    <x v="0"/>
    <x v="1"/>
    <x v="0"/>
    <n v="48"/>
    <n v="233.45"/>
    <x v="1"/>
    <x v="0"/>
    <d v="2025-07-04T00:00:00"/>
    <x v="20"/>
    <x v="1"/>
    <m/>
    <x v="1"/>
    <x v="1"/>
    <n v="0"/>
    <x v="2"/>
    <n v="40"/>
    <x v="2"/>
    <s v="No"/>
  </r>
  <r>
    <s v="CUST-0474"/>
    <x v="0"/>
    <x v="1"/>
    <x v="2"/>
    <x v="2"/>
    <n v="7"/>
    <n v="127.59"/>
    <x v="3"/>
    <x v="1"/>
    <d v="2022-11-15T00:00:00"/>
    <x v="35"/>
    <x v="0"/>
    <d v="2023-02-07T00:00:00"/>
    <x v="44"/>
    <x v="7"/>
    <n v="1"/>
    <x v="8"/>
    <n v="45"/>
    <x v="2"/>
    <s v="No"/>
  </r>
  <r>
    <s v="CUST-0475"/>
    <x v="0"/>
    <x v="1"/>
    <x v="2"/>
    <x v="3"/>
    <n v="1"/>
    <n v="67.150000000000006"/>
    <x v="4"/>
    <x v="0"/>
    <d v="2025-12-28T00:00:00"/>
    <x v="21"/>
    <x v="1"/>
    <m/>
    <x v="1"/>
    <x v="1"/>
    <n v="11"/>
    <x v="4"/>
    <n v="30"/>
    <x v="2"/>
    <s v="No"/>
  </r>
  <r>
    <s v="CUST-0476"/>
    <x v="0"/>
    <x v="1"/>
    <x v="2"/>
    <x v="3"/>
    <n v="2"/>
    <n v="77.22"/>
    <x v="0"/>
    <x v="3"/>
    <d v="2025-06-14T00:00:00"/>
    <x v="47"/>
    <x v="1"/>
    <m/>
    <x v="1"/>
    <x v="1"/>
    <n v="1"/>
    <x v="0"/>
    <n v="15"/>
    <x v="0"/>
    <s v="No"/>
  </r>
  <r>
    <s v="CUST-0477"/>
    <x v="0"/>
    <x v="0"/>
    <x v="4"/>
    <x v="0"/>
    <n v="67"/>
    <n v="861.1"/>
    <x v="1"/>
    <x v="2"/>
    <d v="2025-06-14T00:00:00"/>
    <x v="47"/>
    <x v="1"/>
    <m/>
    <x v="1"/>
    <x v="1"/>
    <n v="11"/>
    <x v="7"/>
    <n v="76"/>
    <x v="1"/>
    <s v="No"/>
  </r>
  <r>
    <s v="CUST-0478"/>
    <x v="2"/>
    <x v="0"/>
    <x v="0"/>
    <x v="3"/>
    <n v="3"/>
    <n v="258.7"/>
    <x v="4"/>
    <x v="1"/>
    <d v="2022-02-17T00:00:00"/>
    <x v="26"/>
    <x v="0"/>
    <d v="2024-06-28T00:00:00"/>
    <x v="19"/>
    <x v="2"/>
    <n v="1"/>
    <x v="5"/>
    <n v="11"/>
    <x v="0"/>
    <s v="No"/>
  </r>
  <r>
    <s v="CUST-0479"/>
    <x v="1"/>
    <x v="0"/>
    <x v="6"/>
    <x v="2"/>
    <n v="10"/>
    <n v="68.150000000000006"/>
    <x v="4"/>
    <x v="0"/>
    <d v="2023-11-06T00:00:00"/>
    <x v="9"/>
    <x v="0"/>
    <d v="2025-03-21T00:00:00"/>
    <x v="29"/>
    <x v="7"/>
    <n v="2"/>
    <x v="5"/>
    <n v="21"/>
    <x v="2"/>
    <s v="No"/>
  </r>
  <r>
    <s v="CUST-0480"/>
    <x v="2"/>
    <x v="0"/>
    <x v="3"/>
    <x v="2"/>
    <n v="5"/>
    <n v="318.39999999999998"/>
    <x v="0"/>
    <x v="1"/>
    <d v="2023-02-08T00:00:00"/>
    <x v="38"/>
    <x v="0"/>
    <d v="2023-02-16T00:00:00"/>
    <x v="44"/>
    <x v="5"/>
    <n v="8"/>
    <x v="4"/>
    <n v="34"/>
    <x v="2"/>
    <s v="No"/>
  </r>
  <r>
    <s v="CUST-0481"/>
    <x v="3"/>
    <x v="0"/>
    <x v="8"/>
    <x v="4"/>
    <n v="112"/>
    <n v="8807.35"/>
    <x v="0"/>
    <x v="1"/>
    <d v="2024-06-21T00:00:00"/>
    <x v="19"/>
    <x v="1"/>
    <m/>
    <x v="1"/>
    <x v="1"/>
    <n v="2"/>
    <x v="3"/>
    <n v="61"/>
    <x v="1"/>
    <s v="No"/>
  </r>
  <r>
    <s v="CUST-0482"/>
    <x v="0"/>
    <x v="1"/>
    <x v="7"/>
    <x v="2"/>
    <n v="27"/>
    <n v="329.03"/>
    <x v="4"/>
    <x v="0"/>
    <d v="2024-10-02T00:00:00"/>
    <x v="2"/>
    <x v="1"/>
    <m/>
    <x v="1"/>
    <x v="1"/>
    <n v="8"/>
    <x v="4"/>
    <n v="80"/>
    <x v="1"/>
    <s v="No"/>
  </r>
  <r>
    <s v="CUST-0483"/>
    <x v="1"/>
    <x v="1"/>
    <x v="7"/>
    <x v="2"/>
    <n v="6"/>
    <n v="43.14"/>
    <x v="4"/>
    <x v="0"/>
    <d v="2022-02-22T00:00:00"/>
    <x v="26"/>
    <x v="0"/>
    <d v="2022-08-11T00:00:00"/>
    <x v="16"/>
    <x v="5"/>
    <n v="6"/>
    <x v="5"/>
    <n v="21"/>
    <x v="2"/>
    <s v="No"/>
  </r>
  <r>
    <s v="CUST-0484"/>
    <x v="2"/>
    <x v="0"/>
    <x v="8"/>
    <x v="2"/>
    <n v="29"/>
    <n v="1034.8"/>
    <x v="0"/>
    <x v="1"/>
    <d v="2023-05-26T00:00:00"/>
    <x v="24"/>
    <x v="0"/>
    <d v="2023-06-18T00:00:00"/>
    <x v="6"/>
    <x v="2"/>
    <n v="7"/>
    <x v="0"/>
    <n v="32"/>
    <x v="2"/>
    <s v="No"/>
  </r>
  <r>
    <s v="CUST-0485"/>
    <x v="0"/>
    <x v="1"/>
    <x v="1"/>
    <x v="3"/>
    <n v="2"/>
    <n v="77.22"/>
    <x v="0"/>
    <x v="1"/>
    <d v="2023-09-13T00:00:00"/>
    <x v="5"/>
    <x v="0"/>
    <d v="2025-03-29T00:00:00"/>
    <x v="29"/>
    <x v="4"/>
    <n v="7"/>
    <x v="5"/>
    <n v="30"/>
    <x v="2"/>
    <s v="No"/>
  </r>
  <r>
    <s v="CUST-0486"/>
    <x v="1"/>
    <x v="0"/>
    <x v="6"/>
    <x v="0"/>
    <n v="25"/>
    <n v="133.4"/>
    <x v="2"/>
    <x v="2"/>
    <d v="2024-11-29T00:00:00"/>
    <x v="43"/>
    <x v="0"/>
    <d v="2025-01-28T00:00:00"/>
    <x v="35"/>
    <x v="4"/>
    <n v="10"/>
    <x v="1"/>
    <n v="29"/>
    <x v="2"/>
    <s v="No"/>
  </r>
  <r>
    <s v="CUST-0487"/>
    <x v="1"/>
    <x v="0"/>
    <x v="2"/>
    <x v="3"/>
    <n v="7"/>
    <n v="55.1"/>
    <x v="5"/>
    <x v="1"/>
    <d v="2024-07-12T00:00:00"/>
    <x v="10"/>
    <x v="0"/>
    <d v="2025-10-03T00:00:00"/>
    <x v="41"/>
    <x v="7"/>
    <n v="8"/>
    <x v="0"/>
    <n v="50"/>
    <x v="2"/>
    <s v="No"/>
  </r>
  <r>
    <s v="CUST-0488"/>
    <x v="2"/>
    <x v="1"/>
    <x v="7"/>
    <x v="3"/>
    <n v="7"/>
    <n v="321.38"/>
    <x v="2"/>
    <x v="0"/>
    <d v="2022-09-21T00:00:00"/>
    <x v="30"/>
    <x v="1"/>
    <m/>
    <x v="1"/>
    <x v="1"/>
    <n v="2"/>
    <x v="4"/>
    <n v="84"/>
    <x v="3"/>
    <s v="No"/>
  </r>
  <r>
    <s v="CUST-0489"/>
    <x v="0"/>
    <x v="0"/>
    <x v="9"/>
    <x v="2"/>
    <n v="24"/>
    <n v="351.55"/>
    <x v="3"/>
    <x v="2"/>
    <d v="2023-07-30T00:00:00"/>
    <x v="28"/>
    <x v="0"/>
    <d v="2025-05-02T00:00:00"/>
    <x v="30"/>
    <x v="6"/>
    <n v="15"/>
    <x v="8"/>
    <n v="26"/>
    <x v="2"/>
    <s v="No"/>
  </r>
  <r>
    <s v="CUST-0490"/>
    <x v="3"/>
    <x v="0"/>
    <x v="5"/>
    <x v="3"/>
    <n v="6"/>
    <n v="873.25"/>
    <x v="3"/>
    <x v="0"/>
    <d v="2022-03-27T00:00:00"/>
    <x v="32"/>
    <x v="0"/>
    <d v="2025-02-22T00:00:00"/>
    <x v="32"/>
    <x v="5"/>
    <n v="11"/>
    <x v="0"/>
    <n v="19"/>
    <x v="0"/>
    <s v="No"/>
  </r>
  <r>
    <s v="CUST-0491"/>
    <x v="1"/>
    <x v="0"/>
    <x v="3"/>
    <x v="4"/>
    <n v="121"/>
    <n v="551"/>
    <x v="5"/>
    <x v="1"/>
    <d v="2024-06-01T00:00:00"/>
    <x v="19"/>
    <x v="0"/>
    <d v="2025-04-06T00:00:00"/>
    <x v="2"/>
    <x v="0"/>
    <n v="2"/>
    <x v="4"/>
    <n v="23"/>
    <x v="2"/>
    <s v="No"/>
  </r>
  <r>
    <s v="CUST-0492"/>
    <x v="0"/>
    <x v="0"/>
    <x v="1"/>
    <x v="3"/>
    <n v="4"/>
    <n v="114.55"/>
    <x v="3"/>
    <x v="1"/>
    <d v="2022-12-04T00:00:00"/>
    <x v="8"/>
    <x v="0"/>
    <d v="2025-03-31T00:00:00"/>
    <x v="29"/>
    <x v="5"/>
    <n v="15"/>
    <x v="5"/>
    <n v="27"/>
    <x v="2"/>
    <s v="No"/>
  </r>
  <r>
    <s v="CUST-0493"/>
    <x v="1"/>
    <x v="1"/>
    <x v="1"/>
    <x v="0"/>
    <n v="73"/>
    <n v="290.87"/>
    <x v="0"/>
    <x v="0"/>
    <d v="2025-10-06T00:00:00"/>
    <x v="39"/>
    <x v="1"/>
    <m/>
    <x v="1"/>
    <x v="1"/>
    <n v="3"/>
    <x v="2"/>
    <n v="57"/>
    <x v="1"/>
    <s v="No"/>
  </r>
  <r>
    <s v="CUST-0494"/>
    <x v="2"/>
    <x v="0"/>
    <x v="0"/>
    <x v="1"/>
    <n v="199"/>
    <n v="6109.3"/>
    <x v="2"/>
    <x v="0"/>
    <d v="2022-05-30T00:00:00"/>
    <x v="11"/>
    <x v="0"/>
    <d v="2025-09-19T00:00:00"/>
    <x v="27"/>
    <x v="7"/>
    <n v="13"/>
    <x v="1"/>
    <n v="26"/>
    <x v="2"/>
    <s v="No"/>
  </r>
  <r>
    <s v="CUST-0495"/>
    <x v="2"/>
    <x v="0"/>
    <x v="6"/>
    <x v="2"/>
    <n v="21"/>
    <n v="796"/>
    <x v="4"/>
    <x v="2"/>
    <d v="2022-08-10T00:00:00"/>
    <x v="36"/>
    <x v="0"/>
    <d v="2023-12-09T00:00:00"/>
    <x v="5"/>
    <x v="6"/>
    <n v="4"/>
    <x v="5"/>
    <n v="13"/>
    <x v="0"/>
    <s v="No"/>
  </r>
  <r>
    <s v="CUST-0496"/>
    <x v="1"/>
    <x v="1"/>
    <x v="1"/>
    <x v="3"/>
    <n v="4"/>
    <n v="35.74"/>
    <x v="3"/>
    <x v="1"/>
    <d v="2023-06-27T00:00:00"/>
    <x v="14"/>
    <x v="0"/>
    <d v="2023-09-11T00:00:00"/>
    <x v="33"/>
    <x v="0"/>
    <n v="1"/>
    <x v="5"/>
    <n v="39"/>
    <x v="2"/>
    <s v="No"/>
  </r>
  <r>
    <s v="CUST-0497"/>
    <x v="3"/>
    <x v="0"/>
    <x v="8"/>
    <x v="3"/>
    <n v="4"/>
    <n v="723.55"/>
    <x v="4"/>
    <x v="0"/>
    <d v="2024-02-03T00:00:00"/>
    <x v="17"/>
    <x v="1"/>
    <m/>
    <x v="1"/>
    <x v="1"/>
    <n v="0"/>
    <x v="4"/>
    <n v="47"/>
    <x v="2"/>
    <s v="No"/>
  </r>
  <r>
    <s v="CUST-0498"/>
    <x v="2"/>
    <x v="1"/>
    <x v="7"/>
    <x v="2"/>
    <n v="5"/>
    <n v="270.64"/>
    <x v="5"/>
    <x v="1"/>
    <d v="2025-12-24T00:00:00"/>
    <x v="21"/>
    <x v="1"/>
    <m/>
    <x v="1"/>
    <x v="1"/>
    <n v="3"/>
    <x v="8"/>
    <n v="48"/>
    <x v="2"/>
    <s v="No"/>
  </r>
  <r>
    <s v="CUST-0499"/>
    <x v="2"/>
    <x v="0"/>
    <x v="7"/>
    <x v="2"/>
    <n v="15"/>
    <n v="616.9"/>
    <x v="3"/>
    <x v="0"/>
    <d v="2025-03-06T00:00:00"/>
    <x v="29"/>
    <x v="1"/>
    <m/>
    <x v="1"/>
    <x v="1"/>
    <n v="11"/>
    <x v="9"/>
    <n v="37"/>
    <x v="2"/>
    <s v="No"/>
  </r>
  <r>
    <s v="CUST-0500"/>
    <x v="0"/>
    <x v="0"/>
    <x v="5"/>
    <x v="0"/>
    <n v="71"/>
    <n v="908.5"/>
    <x v="3"/>
    <x v="0"/>
    <d v="2025-11-28T00:00:00"/>
    <x v="41"/>
    <x v="1"/>
    <m/>
    <x v="1"/>
    <x v="1"/>
    <n v="4"/>
    <x v="8"/>
    <n v="70"/>
    <x v="1"/>
    <s v="No"/>
  </r>
  <r>
    <s v="CUST-0501"/>
    <x v="1"/>
    <x v="1"/>
    <x v="7"/>
    <x v="1"/>
    <n v="144"/>
    <n v="553.39"/>
    <x v="2"/>
    <x v="0"/>
    <d v="2023-07-30T00:00:00"/>
    <x v="28"/>
    <x v="0"/>
    <d v="2024-01-28T00:00:00"/>
    <x v="28"/>
    <x v="5"/>
    <n v="6"/>
    <x v="0"/>
    <n v="45"/>
    <x v="2"/>
    <s v="No"/>
  </r>
  <r>
    <s v="CUST-0502"/>
    <x v="0"/>
    <x v="1"/>
    <x v="0"/>
    <x v="2"/>
    <n v="32"/>
    <n v="379.4"/>
    <x v="3"/>
    <x v="1"/>
    <d v="2024-10-28T00:00:00"/>
    <x v="2"/>
    <x v="1"/>
    <m/>
    <x v="1"/>
    <x v="1"/>
    <n v="5"/>
    <x v="6"/>
    <n v="36"/>
    <x v="2"/>
    <s v="No"/>
  </r>
  <r>
    <s v="CUST-0503"/>
    <x v="3"/>
    <x v="1"/>
    <x v="2"/>
    <x v="2"/>
    <n v="23"/>
    <n v="1823.84"/>
    <x v="0"/>
    <x v="3"/>
    <d v="2025-01-20T00:00:00"/>
    <x v="25"/>
    <x v="1"/>
    <m/>
    <x v="1"/>
    <x v="1"/>
    <n v="10"/>
    <x v="2"/>
    <n v="16"/>
    <x v="0"/>
    <s v="No"/>
  </r>
  <r>
    <s v="CUST-0504"/>
    <x v="1"/>
    <x v="0"/>
    <x v="0"/>
    <x v="2"/>
    <n v="15"/>
    <n v="89.9"/>
    <x v="0"/>
    <x v="1"/>
    <d v="2025-04-12T00:00:00"/>
    <x v="7"/>
    <x v="0"/>
    <d v="2025-05-08T00:00:00"/>
    <x v="30"/>
    <x v="4"/>
    <n v="14"/>
    <x v="0"/>
    <n v="26"/>
    <x v="2"/>
    <s v="No"/>
  </r>
  <r>
    <s v="CUST-0505"/>
    <x v="2"/>
    <x v="0"/>
    <x v="4"/>
    <x v="0"/>
    <n v="49"/>
    <n v="1631.8"/>
    <x v="3"/>
    <x v="0"/>
    <d v="2022-05-12T00:00:00"/>
    <x v="11"/>
    <x v="0"/>
    <d v="2023-08-04T00:00:00"/>
    <x v="11"/>
    <x v="4"/>
    <n v="10"/>
    <x v="4"/>
    <n v="16"/>
    <x v="0"/>
    <s v="No"/>
  </r>
  <r>
    <s v="CUST-0506"/>
    <x v="1"/>
    <x v="0"/>
    <x v="4"/>
    <x v="2"/>
    <n v="26"/>
    <n v="137.75"/>
    <x v="0"/>
    <x v="3"/>
    <d v="2024-11-08T00:00:00"/>
    <x v="43"/>
    <x v="0"/>
    <d v="2025-08-25T00:00:00"/>
    <x v="23"/>
    <x v="6"/>
    <n v="12"/>
    <x v="3"/>
    <n v="26"/>
    <x v="2"/>
    <s v="No"/>
  </r>
  <r>
    <s v="CUST-0507"/>
    <x v="2"/>
    <x v="1"/>
    <x v="3"/>
    <x v="2"/>
    <n v="35"/>
    <n v="1031.82"/>
    <x v="2"/>
    <x v="0"/>
    <d v="2025-04-21T00:00:00"/>
    <x v="7"/>
    <x v="1"/>
    <m/>
    <x v="1"/>
    <x v="1"/>
    <n v="2"/>
    <x v="4"/>
    <n v="70"/>
    <x v="1"/>
    <s v="Yes"/>
  </r>
  <r>
    <s v="CUST-0508"/>
    <x v="1"/>
    <x v="1"/>
    <x v="1"/>
    <x v="0"/>
    <n v="54"/>
    <n v="220.62"/>
    <x v="3"/>
    <x v="2"/>
    <d v="2022-03-10T00:00:00"/>
    <x v="32"/>
    <x v="0"/>
    <d v="2022-11-09T00:00:00"/>
    <x v="26"/>
    <x v="5"/>
    <n v="3"/>
    <x v="3"/>
    <n v="33"/>
    <x v="2"/>
    <s v="No"/>
  </r>
  <r>
    <s v="CUST-0509"/>
    <x v="1"/>
    <x v="0"/>
    <x v="7"/>
    <x v="1"/>
    <n v="56"/>
    <n v="268.25"/>
    <x v="3"/>
    <x v="3"/>
    <d v="2023-05-12T00:00:00"/>
    <x v="24"/>
    <x v="0"/>
    <d v="2023-07-04T00:00:00"/>
    <x v="39"/>
    <x v="3"/>
    <n v="12"/>
    <x v="3"/>
    <n v="17"/>
    <x v="0"/>
    <s v="No"/>
  </r>
  <r>
    <s v="CUST-0510"/>
    <x v="2"/>
    <x v="0"/>
    <x v="7"/>
    <x v="2"/>
    <n v="27"/>
    <n v="975.1"/>
    <x v="3"/>
    <x v="2"/>
    <d v="2024-08-26T00:00:00"/>
    <x v="44"/>
    <x v="0"/>
    <d v="2025-04-07T00:00:00"/>
    <x v="2"/>
    <x v="3"/>
    <n v="9"/>
    <x v="3"/>
    <n v="24"/>
    <x v="2"/>
    <s v="No"/>
  </r>
  <r>
    <s v="CUST-0511"/>
    <x v="0"/>
    <x v="0"/>
    <x v="7"/>
    <x v="2"/>
    <n v="25"/>
    <n v="363.4"/>
    <x v="4"/>
    <x v="0"/>
    <d v="2025-09-23T00:00:00"/>
    <x v="4"/>
    <x v="1"/>
    <m/>
    <x v="1"/>
    <x v="1"/>
    <n v="6"/>
    <x v="1"/>
    <n v="30"/>
    <x v="2"/>
    <s v="No"/>
  </r>
  <r>
    <s v="CUST-0512"/>
    <x v="1"/>
    <x v="1"/>
    <x v="9"/>
    <x v="0"/>
    <n v="26"/>
    <n v="117.09"/>
    <x v="3"/>
    <x v="1"/>
    <d v="2023-01-17T00:00:00"/>
    <x v="3"/>
    <x v="0"/>
    <d v="2023-06-08T00:00:00"/>
    <x v="6"/>
    <x v="4"/>
    <n v="15"/>
    <x v="3"/>
    <n v="36"/>
    <x v="2"/>
    <s v="No"/>
  </r>
  <r>
    <s v="CUST-0513"/>
    <x v="0"/>
    <x v="1"/>
    <x v="7"/>
    <x v="3"/>
    <n v="8"/>
    <n v="137.66"/>
    <x v="3"/>
    <x v="0"/>
    <d v="2024-01-20T00:00:00"/>
    <x v="12"/>
    <x v="0"/>
    <d v="2024-02-01T00:00:00"/>
    <x v="18"/>
    <x v="5"/>
    <n v="6"/>
    <x v="8"/>
    <n v="13"/>
    <x v="0"/>
    <s v="No"/>
  </r>
  <r>
    <s v="CUST-0514"/>
    <x v="2"/>
    <x v="0"/>
    <x v="1"/>
    <x v="4"/>
    <n v="68"/>
    <n v="2198.9499999999998"/>
    <x v="4"/>
    <x v="3"/>
    <d v="2024-01-27T00:00:00"/>
    <x v="12"/>
    <x v="0"/>
    <d v="2024-06-19T00:00:00"/>
    <x v="19"/>
    <x v="4"/>
    <n v="15"/>
    <x v="5"/>
    <n v="19"/>
    <x v="0"/>
    <s v="No"/>
  </r>
  <r>
    <s v="CUST-0515"/>
    <x v="3"/>
    <x v="0"/>
    <x v="1"/>
    <x v="3"/>
    <n v="2"/>
    <n v="573.85"/>
    <x v="0"/>
    <x v="0"/>
    <d v="2022-04-01T00:00:00"/>
    <x v="27"/>
    <x v="1"/>
    <m/>
    <x v="1"/>
    <x v="1"/>
    <n v="7"/>
    <x v="7"/>
    <n v="28"/>
    <x v="2"/>
    <s v="No"/>
  </r>
  <r>
    <s v="CUST-0516"/>
    <x v="2"/>
    <x v="0"/>
    <x v="7"/>
    <x v="0"/>
    <n v="42"/>
    <n v="1422.85"/>
    <x v="2"/>
    <x v="1"/>
    <d v="2024-11-16T00:00:00"/>
    <x v="43"/>
    <x v="1"/>
    <m/>
    <x v="1"/>
    <x v="1"/>
    <n v="10"/>
    <x v="3"/>
    <n v="17"/>
    <x v="0"/>
    <s v="No"/>
  </r>
  <r>
    <s v="CUST-0517"/>
    <x v="0"/>
    <x v="0"/>
    <x v="6"/>
    <x v="0"/>
    <n v="59"/>
    <n v="766.3"/>
    <x v="5"/>
    <x v="1"/>
    <d v="2024-04-30T00:00:00"/>
    <x v="42"/>
    <x v="0"/>
    <d v="2024-10-14T00:00:00"/>
    <x v="25"/>
    <x v="5"/>
    <n v="12"/>
    <x v="1"/>
    <n v="42"/>
    <x v="2"/>
    <s v="No"/>
  </r>
  <r>
    <s v="CUST-0518"/>
    <x v="1"/>
    <x v="1"/>
    <x v="3"/>
    <x v="2"/>
    <n v="21"/>
    <n v="98.6"/>
    <x v="4"/>
    <x v="0"/>
    <d v="2025-05-20T00:00:00"/>
    <x v="18"/>
    <x v="1"/>
    <m/>
    <x v="1"/>
    <x v="1"/>
    <n v="4"/>
    <x v="2"/>
    <n v="71"/>
    <x v="1"/>
    <s v="No"/>
  </r>
  <r>
    <s v="CUST-0519"/>
    <x v="2"/>
    <x v="1"/>
    <x v="5"/>
    <x v="2"/>
    <n v="34"/>
    <n v="1006.44"/>
    <x v="4"/>
    <x v="2"/>
    <d v="2022-08-18T00:00:00"/>
    <x v="36"/>
    <x v="1"/>
    <m/>
    <x v="1"/>
    <x v="1"/>
    <n v="10"/>
    <x v="1"/>
    <n v="84"/>
    <x v="3"/>
    <s v="No"/>
  </r>
  <r>
    <s v="CUST-0520"/>
    <x v="0"/>
    <x v="0"/>
    <x v="6"/>
    <x v="2"/>
    <n v="31"/>
    <n v="434.5"/>
    <x v="4"/>
    <x v="1"/>
    <d v="2022-06-12T00:00:00"/>
    <x v="0"/>
    <x v="0"/>
    <d v="2024-04-30T00:00:00"/>
    <x v="12"/>
    <x v="3"/>
    <n v="10"/>
    <x v="1"/>
    <n v="20"/>
    <x v="0"/>
    <s v="No"/>
  </r>
  <r>
    <s v="CUST-0521"/>
    <x v="3"/>
    <x v="0"/>
    <x v="1"/>
    <x v="3"/>
    <n v="4"/>
    <n v="723.55"/>
    <x v="0"/>
    <x v="2"/>
    <d v="2024-08-01T00:00:00"/>
    <x v="44"/>
    <x v="0"/>
    <d v="2025-05-10T00:00:00"/>
    <x v="30"/>
    <x v="5"/>
    <n v="5"/>
    <x v="4"/>
    <n v="31"/>
    <x v="2"/>
    <s v="No"/>
  </r>
  <r>
    <s v="CUST-0522"/>
    <x v="3"/>
    <x v="0"/>
    <x v="4"/>
    <x v="3"/>
    <n v="7"/>
    <n v="948.1"/>
    <x v="1"/>
    <x v="2"/>
    <d v="2023-06-26T00:00:00"/>
    <x v="14"/>
    <x v="1"/>
    <m/>
    <x v="1"/>
    <x v="1"/>
    <n v="0"/>
    <x v="8"/>
    <n v="83"/>
    <x v="3"/>
    <s v="No"/>
  </r>
  <r>
    <s v="CUST-0523"/>
    <x v="2"/>
    <x v="0"/>
    <x v="6"/>
    <x v="3"/>
    <n v="7"/>
    <n v="378.1"/>
    <x v="2"/>
    <x v="1"/>
    <d v="2024-01-07T00:00:00"/>
    <x v="12"/>
    <x v="0"/>
    <d v="2025-04-26T00:00:00"/>
    <x v="2"/>
    <x v="7"/>
    <n v="0"/>
    <x v="5"/>
    <n v="36"/>
    <x v="2"/>
    <s v="No"/>
  </r>
  <r>
    <s v="CUST-0524"/>
    <x v="0"/>
    <x v="0"/>
    <x v="5"/>
    <x v="0"/>
    <n v="59"/>
    <n v="766.3"/>
    <x v="2"/>
    <x v="0"/>
    <d v="2022-02-07T00:00:00"/>
    <x v="26"/>
    <x v="1"/>
    <m/>
    <x v="1"/>
    <x v="1"/>
    <n v="2"/>
    <x v="2"/>
    <n v="51"/>
    <x v="1"/>
    <s v="No"/>
  </r>
  <r>
    <s v="CUST-0525"/>
    <x v="3"/>
    <x v="1"/>
    <x v="3"/>
    <x v="3"/>
    <n v="1"/>
    <n v="424.15"/>
    <x v="4"/>
    <x v="3"/>
    <d v="2022-08-01T00:00:00"/>
    <x v="36"/>
    <x v="1"/>
    <m/>
    <x v="1"/>
    <x v="1"/>
    <n v="2"/>
    <x v="5"/>
    <n v="65"/>
    <x v="1"/>
    <s v="No"/>
  </r>
  <r>
    <s v="CUST-0526"/>
    <x v="0"/>
    <x v="0"/>
    <x v="2"/>
    <x v="3"/>
    <n v="8"/>
    <n v="161.94999999999999"/>
    <x v="4"/>
    <x v="3"/>
    <d v="2023-05-01T00:00:00"/>
    <x v="24"/>
    <x v="0"/>
    <d v="2023-06-24T00:00:00"/>
    <x v="6"/>
    <x v="4"/>
    <n v="3"/>
    <x v="5"/>
    <n v="27"/>
    <x v="2"/>
    <s v="No"/>
  </r>
  <r>
    <s v="CUST-0527"/>
    <x v="2"/>
    <x v="1"/>
    <x v="5"/>
    <x v="4"/>
    <n v="50"/>
    <n v="1412.4"/>
    <x v="4"/>
    <x v="1"/>
    <d v="2025-10-13T00:00:00"/>
    <x v="39"/>
    <x v="1"/>
    <m/>
    <x v="1"/>
    <x v="1"/>
    <n v="12"/>
    <x v="8"/>
    <n v="91"/>
    <x v="3"/>
    <s v="No"/>
  </r>
  <r>
    <s v="CUST-0528"/>
    <x v="1"/>
    <x v="0"/>
    <x v="8"/>
    <x v="3"/>
    <n v="7"/>
    <n v="55.1"/>
    <x v="3"/>
    <x v="2"/>
    <d v="2023-12-16T00:00:00"/>
    <x v="31"/>
    <x v="0"/>
    <d v="2025-08-02T00:00:00"/>
    <x v="23"/>
    <x v="5"/>
    <n v="6"/>
    <x v="0"/>
    <n v="36"/>
    <x v="2"/>
    <s v="No"/>
  </r>
  <r>
    <s v="CUST-0529"/>
    <x v="2"/>
    <x v="1"/>
    <x v="9"/>
    <x v="0"/>
    <n v="49"/>
    <n v="1387.03"/>
    <x v="3"/>
    <x v="3"/>
    <d v="2025-02-26T00:00:00"/>
    <x v="45"/>
    <x v="1"/>
    <m/>
    <x v="1"/>
    <x v="1"/>
    <n v="12"/>
    <x v="6"/>
    <n v="82"/>
    <x v="3"/>
    <s v="No"/>
  </r>
  <r>
    <s v="CUST-0530"/>
    <x v="3"/>
    <x v="0"/>
    <x v="8"/>
    <x v="2"/>
    <n v="31"/>
    <n v="2744.5"/>
    <x v="2"/>
    <x v="1"/>
    <d v="2023-04-28T00:00:00"/>
    <x v="23"/>
    <x v="1"/>
    <m/>
    <x v="1"/>
    <x v="1"/>
    <n v="11"/>
    <x v="0"/>
    <n v="15"/>
    <x v="0"/>
    <s v="No"/>
  </r>
  <r>
    <s v="CUST-0531"/>
    <x v="0"/>
    <x v="0"/>
    <x v="2"/>
    <x v="2"/>
    <n v="20"/>
    <n v="304.14999999999998"/>
    <x v="0"/>
    <x v="0"/>
    <d v="2023-08-12T00:00:00"/>
    <x v="15"/>
    <x v="1"/>
    <m/>
    <x v="1"/>
    <x v="1"/>
    <n v="10"/>
    <x v="5"/>
    <n v="76"/>
    <x v="1"/>
    <s v="No"/>
  </r>
  <r>
    <s v="CUST-0532"/>
    <x v="1"/>
    <x v="1"/>
    <x v="8"/>
    <x v="0"/>
    <n v="67"/>
    <n v="268.69"/>
    <x v="2"/>
    <x v="2"/>
    <d v="2024-08-19T00:00:00"/>
    <x v="44"/>
    <x v="1"/>
    <m/>
    <x v="1"/>
    <x v="1"/>
    <n v="3"/>
    <x v="4"/>
    <n v="55"/>
    <x v="1"/>
    <s v="No"/>
  </r>
  <r>
    <s v="CUST-0533"/>
    <x v="3"/>
    <x v="0"/>
    <x v="6"/>
    <x v="4"/>
    <n v="85"/>
    <n v="6786.4"/>
    <x v="1"/>
    <x v="1"/>
    <d v="2024-07-17T00:00:00"/>
    <x v="10"/>
    <x v="1"/>
    <m/>
    <x v="1"/>
    <x v="1"/>
    <n v="4"/>
    <x v="2"/>
    <n v="54"/>
    <x v="1"/>
    <s v="Yes"/>
  </r>
  <r>
    <s v="CUST-0534"/>
    <x v="1"/>
    <x v="0"/>
    <x v="2"/>
    <x v="3"/>
    <n v="2"/>
    <n v="33.35"/>
    <x v="0"/>
    <x v="2"/>
    <d v="2023-06-17T00:00:00"/>
    <x v="14"/>
    <x v="0"/>
    <d v="2023-07-27T00:00:00"/>
    <x v="39"/>
    <x v="5"/>
    <n v="13"/>
    <x v="3"/>
    <n v="17"/>
    <x v="0"/>
    <s v="No"/>
  </r>
  <r>
    <s v="CUST-0535"/>
    <x v="3"/>
    <x v="1"/>
    <x v="1"/>
    <x v="4"/>
    <n v="52"/>
    <n v="3668.9"/>
    <x v="3"/>
    <x v="1"/>
    <d v="2024-07-25T00:00:00"/>
    <x v="10"/>
    <x v="1"/>
    <m/>
    <x v="1"/>
    <x v="1"/>
    <n v="9"/>
    <x v="2"/>
    <n v="93"/>
    <x v="3"/>
    <s v="No"/>
  </r>
  <r>
    <s v="CUST-0536"/>
    <x v="1"/>
    <x v="1"/>
    <x v="2"/>
    <x v="0"/>
    <n v="58"/>
    <n v="235.41"/>
    <x v="5"/>
    <x v="2"/>
    <d v="2022-11-05T00:00:00"/>
    <x v="35"/>
    <x v="0"/>
    <d v="2022-11-06T00:00:00"/>
    <x v="26"/>
    <x v="5"/>
    <n v="4"/>
    <x v="8"/>
    <n v="20"/>
    <x v="0"/>
    <s v="No"/>
  </r>
  <r>
    <s v="CUST-0537"/>
    <x v="1"/>
    <x v="0"/>
    <x v="8"/>
    <x v="2"/>
    <n v="26"/>
    <n v="137.75"/>
    <x v="4"/>
    <x v="0"/>
    <d v="2023-06-14T00:00:00"/>
    <x v="14"/>
    <x v="0"/>
    <d v="2023-06-14T00:00:00"/>
    <x v="6"/>
    <x v="0"/>
    <n v="0"/>
    <x v="0"/>
    <n v="23"/>
    <x v="2"/>
    <s v="No"/>
  </r>
  <r>
    <s v="CUST-0538"/>
    <x v="0"/>
    <x v="0"/>
    <x v="2"/>
    <x v="3"/>
    <n v="8"/>
    <n v="161.94999999999999"/>
    <x v="4"/>
    <x v="1"/>
    <d v="2025-05-04T00:00:00"/>
    <x v="18"/>
    <x v="0"/>
    <d v="2025-08-08T00:00:00"/>
    <x v="23"/>
    <x v="0"/>
    <n v="5"/>
    <x v="3"/>
    <n v="49"/>
    <x v="2"/>
    <s v="No"/>
  </r>
  <r>
    <s v="CUST-0539"/>
    <x v="2"/>
    <x v="1"/>
    <x v="6"/>
    <x v="0"/>
    <n v="20"/>
    <n v="651.23"/>
    <x v="5"/>
    <x v="0"/>
    <d v="2024-05-25T00:00:00"/>
    <x v="22"/>
    <x v="1"/>
    <m/>
    <x v="1"/>
    <x v="1"/>
    <n v="8"/>
    <x v="6"/>
    <n v="90"/>
    <x v="3"/>
    <s v="No"/>
  </r>
  <r>
    <s v="CUST-0540"/>
    <x v="1"/>
    <x v="0"/>
    <x v="9"/>
    <x v="0"/>
    <n v="68"/>
    <n v="320.45"/>
    <x v="4"/>
    <x v="0"/>
    <d v="2024-09-04T00:00:00"/>
    <x v="46"/>
    <x v="0"/>
    <d v="2025-05-10T00:00:00"/>
    <x v="30"/>
    <x v="6"/>
    <n v="9"/>
    <x v="1"/>
    <n v="50"/>
    <x v="2"/>
    <s v="No"/>
  </r>
  <r>
    <s v="CUST-0541"/>
    <x v="0"/>
    <x v="0"/>
    <x v="3"/>
    <x v="4"/>
    <n v="30"/>
    <n v="422.65"/>
    <x v="3"/>
    <x v="0"/>
    <d v="2023-08-28T00:00:00"/>
    <x v="15"/>
    <x v="0"/>
    <d v="2024-11-10T00:00:00"/>
    <x v="15"/>
    <x v="4"/>
    <n v="8"/>
    <x v="5"/>
    <n v="50"/>
    <x v="2"/>
    <s v="No"/>
  </r>
  <r>
    <s v="CUST-0542"/>
    <x v="1"/>
    <x v="0"/>
    <x v="7"/>
    <x v="2"/>
    <n v="28"/>
    <n v="146.44999999999999"/>
    <x v="1"/>
    <x v="0"/>
    <d v="2025-10-24T00:00:00"/>
    <x v="39"/>
    <x v="1"/>
    <m/>
    <x v="1"/>
    <x v="1"/>
    <n v="7"/>
    <x v="5"/>
    <n v="91"/>
    <x v="3"/>
    <s v="No"/>
  </r>
  <r>
    <s v="CUST-0543"/>
    <x v="3"/>
    <x v="1"/>
    <x v="2"/>
    <x v="3"/>
    <n v="1"/>
    <n v="424.15"/>
    <x v="2"/>
    <x v="0"/>
    <d v="2022-11-05T00:00:00"/>
    <x v="35"/>
    <x v="0"/>
    <d v="2025-05-10T00:00:00"/>
    <x v="30"/>
    <x v="6"/>
    <n v="9"/>
    <x v="0"/>
    <n v="24"/>
    <x v="2"/>
    <s v="No"/>
  </r>
  <r>
    <s v="CUST-0544"/>
    <x v="2"/>
    <x v="1"/>
    <x v="2"/>
    <x v="2"/>
    <n v="16"/>
    <n v="549.74"/>
    <x v="3"/>
    <x v="1"/>
    <d v="2023-12-30T00:00:00"/>
    <x v="31"/>
    <x v="1"/>
    <m/>
    <x v="1"/>
    <x v="1"/>
    <n v="4"/>
    <x v="0"/>
    <n v="25"/>
    <x v="2"/>
    <s v="No"/>
  </r>
  <r>
    <s v="CUST-0545"/>
    <x v="1"/>
    <x v="0"/>
    <x v="4"/>
    <x v="3"/>
    <n v="1"/>
    <n v="29"/>
    <x v="3"/>
    <x v="1"/>
    <d v="2022-05-04T00:00:00"/>
    <x v="11"/>
    <x v="0"/>
    <d v="2022-12-14T00:00:00"/>
    <x v="45"/>
    <x v="0"/>
    <n v="14"/>
    <x v="3"/>
    <n v="10"/>
    <x v="0"/>
    <s v="No"/>
  </r>
  <r>
    <s v="CUST-0546"/>
    <x v="0"/>
    <x v="0"/>
    <x v="4"/>
    <x v="2"/>
    <n v="11"/>
    <n v="197.5"/>
    <x v="1"/>
    <x v="2"/>
    <d v="2023-09-12T00:00:00"/>
    <x v="5"/>
    <x v="0"/>
    <d v="2024-04-25T00:00:00"/>
    <x v="12"/>
    <x v="5"/>
    <n v="12"/>
    <x v="3"/>
    <n v="10"/>
    <x v="0"/>
    <s v="No"/>
  </r>
  <r>
    <s v="CUST-0547"/>
    <x v="3"/>
    <x v="0"/>
    <x v="0"/>
    <x v="3"/>
    <n v="2"/>
    <n v="573.85"/>
    <x v="0"/>
    <x v="0"/>
    <d v="2023-01-10T00:00:00"/>
    <x v="3"/>
    <x v="0"/>
    <d v="2025-02-18T00:00:00"/>
    <x v="32"/>
    <x v="2"/>
    <n v="10"/>
    <x v="0"/>
    <n v="22"/>
    <x v="2"/>
    <s v="No"/>
  </r>
  <r>
    <s v="CUST-0548"/>
    <x v="2"/>
    <x v="0"/>
    <x v="5"/>
    <x v="2"/>
    <n v="31"/>
    <n v="1094.5"/>
    <x v="4"/>
    <x v="2"/>
    <d v="2022-11-24T00:00:00"/>
    <x v="35"/>
    <x v="1"/>
    <m/>
    <x v="1"/>
    <x v="1"/>
    <n v="1"/>
    <x v="4"/>
    <n v="49"/>
    <x v="2"/>
    <s v="No"/>
  </r>
  <r>
    <s v="CUST-0549"/>
    <x v="1"/>
    <x v="1"/>
    <x v="8"/>
    <x v="2"/>
    <n v="30"/>
    <n v="131.88"/>
    <x v="2"/>
    <x v="0"/>
    <d v="2022-03-20T00:00:00"/>
    <x v="32"/>
    <x v="0"/>
    <d v="2022-04-05T00:00:00"/>
    <x v="42"/>
    <x v="5"/>
    <n v="7"/>
    <x v="5"/>
    <n v="28"/>
    <x v="2"/>
    <s v="No"/>
  </r>
  <r>
    <s v="CUST-0550"/>
    <x v="1"/>
    <x v="0"/>
    <x v="4"/>
    <x v="2"/>
    <n v="31"/>
    <n v="159.5"/>
    <x v="0"/>
    <x v="2"/>
    <d v="2024-04-25T00:00:00"/>
    <x v="42"/>
    <x v="0"/>
    <d v="2024-09-02T00:00:00"/>
    <x v="21"/>
    <x v="6"/>
    <n v="1"/>
    <x v="4"/>
    <n v="33"/>
    <x v="2"/>
    <s v="No"/>
  </r>
  <r>
    <s v="CUST-0551"/>
    <x v="0"/>
    <x v="1"/>
    <x v="9"/>
    <x v="1"/>
    <n v="187"/>
    <n v="1940.63"/>
    <x v="4"/>
    <x v="0"/>
    <d v="2025-10-08T00:00:00"/>
    <x v="39"/>
    <x v="1"/>
    <m/>
    <x v="1"/>
    <x v="1"/>
    <n v="1"/>
    <x v="0"/>
    <n v="53"/>
    <x v="1"/>
    <s v="No"/>
  </r>
  <r>
    <s v="CUST-0552"/>
    <x v="1"/>
    <x v="0"/>
    <x v="7"/>
    <x v="2"/>
    <n v="9"/>
    <n v="63.8"/>
    <x v="1"/>
    <x v="0"/>
    <d v="2025-03-10T00:00:00"/>
    <x v="29"/>
    <x v="1"/>
    <m/>
    <x v="1"/>
    <x v="1"/>
    <n v="9"/>
    <x v="0"/>
    <n v="22"/>
    <x v="2"/>
    <s v="No"/>
  </r>
  <r>
    <s v="CUST-0553"/>
    <x v="1"/>
    <x v="1"/>
    <x v="4"/>
    <x v="4"/>
    <n v="135"/>
    <n v="520.12"/>
    <x v="5"/>
    <x v="2"/>
    <d v="2024-10-01T00:00:00"/>
    <x v="2"/>
    <x v="1"/>
    <m/>
    <x v="1"/>
    <x v="1"/>
    <n v="10"/>
    <x v="1"/>
    <n v="86"/>
    <x v="3"/>
    <s v="No"/>
  </r>
  <r>
    <s v="CUST-0554"/>
    <x v="1"/>
    <x v="1"/>
    <x v="3"/>
    <x v="0"/>
    <n v="39"/>
    <n v="165.16"/>
    <x v="4"/>
    <x v="0"/>
    <d v="2022-02-17T00:00:00"/>
    <x v="26"/>
    <x v="0"/>
    <d v="2022-09-10T00:00:00"/>
    <x v="7"/>
    <x v="5"/>
    <n v="8"/>
    <x v="4"/>
    <n v="18"/>
    <x v="0"/>
    <s v="No"/>
  </r>
  <r>
    <s v="CUST-0555"/>
    <x v="2"/>
    <x v="1"/>
    <x v="0"/>
    <x v="2"/>
    <n v="29"/>
    <n v="879.58"/>
    <x v="3"/>
    <x v="0"/>
    <d v="2022-07-28T00:00:00"/>
    <x v="16"/>
    <x v="1"/>
    <m/>
    <x v="1"/>
    <x v="1"/>
    <n v="2"/>
    <x v="8"/>
    <n v="71"/>
    <x v="1"/>
    <s v="No"/>
  </r>
  <r>
    <s v="CUST-0556"/>
    <x v="2"/>
    <x v="0"/>
    <x v="9"/>
    <x v="1"/>
    <n v="182"/>
    <n v="5601.85"/>
    <x v="4"/>
    <x v="3"/>
    <d v="2025-07-25T00:00:00"/>
    <x v="20"/>
    <x v="0"/>
    <d v="2025-07-28T00:00:00"/>
    <x v="20"/>
    <x v="5"/>
    <n v="4"/>
    <x v="5"/>
    <n v="21"/>
    <x v="2"/>
    <s v="No"/>
  </r>
  <r>
    <s v="CUST-0557"/>
    <x v="1"/>
    <x v="0"/>
    <x v="1"/>
    <x v="4"/>
    <n v="82"/>
    <n v="381.35"/>
    <x v="3"/>
    <x v="0"/>
    <d v="2025-10-11T00:00:00"/>
    <x v="39"/>
    <x v="1"/>
    <m/>
    <x v="1"/>
    <x v="1"/>
    <n v="1"/>
    <x v="4"/>
    <n v="33"/>
    <x v="2"/>
    <s v="No"/>
  </r>
  <r>
    <s v="CUST-0558"/>
    <x v="2"/>
    <x v="0"/>
    <x v="7"/>
    <x v="4"/>
    <n v="74"/>
    <n v="2378.0500000000002"/>
    <x v="0"/>
    <x v="1"/>
    <d v="2025-04-25T00:00:00"/>
    <x v="7"/>
    <x v="1"/>
    <m/>
    <x v="1"/>
    <x v="1"/>
    <n v="0"/>
    <x v="6"/>
    <n v="71"/>
    <x v="1"/>
    <s v="Yes"/>
  </r>
  <r>
    <s v="CUST-0559"/>
    <x v="0"/>
    <x v="1"/>
    <x v="6"/>
    <x v="2"/>
    <n v="30"/>
    <n v="359.25"/>
    <x v="2"/>
    <x v="0"/>
    <d v="2022-11-27T00:00:00"/>
    <x v="35"/>
    <x v="0"/>
    <d v="2023-09-11T00:00:00"/>
    <x v="33"/>
    <x v="4"/>
    <n v="11"/>
    <x v="5"/>
    <n v="26"/>
    <x v="2"/>
    <s v="No"/>
  </r>
  <r>
    <s v="CUST-0560"/>
    <x v="1"/>
    <x v="0"/>
    <x v="8"/>
    <x v="2"/>
    <n v="6"/>
    <n v="50.75"/>
    <x v="0"/>
    <x v="2"/>
    <d v="2024-08-12T00:00:00"/>
    <x v="44"/>
    <x v="0"/>
    <d v="2025-06-24T00:00:00"/>
    <x v="3"/>
    <x v="0"/>
    <n v="9"/>
    <x v="5"/>
    <n v="45"/>
    <x v="2"/>
    <s v="No"/>
  </r>
  <r>
    <s v="CUST-0561"/>
    <x v="3"/>
    <x v="0"/>
    <x v="8"/>
    <x v="2"/>
    <n v="17"/>
    <n v="1696.6"/>
    <x v="0"/>
    <x v="2"/>
    <d v="2023-07-21T00:00:00"/>
    <x v="28"/>
    <x v="1"/>
    <m/>
    <x v="1"/>
    <x v="1"/>
    <n v="9"/>
    <x v="0"/>
    <n v="41"/>
    <x v="2"/>
    <s v="No"/>
  </r>
  <r>
    <s v="CUST-0562"/>
    <x v="2"/>
    <x v="0"/>
    <x v="6"/>
    <x v="0"/>
    <n v="30"/>
    <n v="1064.6500000000001"/>
    <x v="3"/>
    <x v="0"/>
    <d v="2025-10-12T00:00:00"/>
    <x v="39"/>
    <x v="1"/>
    <m/>
    <x v="1"/>
    <x v="1"/>
    <n v="6"/>
    <x v="9"/>
    <n v="17"/>
    <x v="0"/>
    <s v="No"/>
  </r>
  <r>
    <s v="CUST-0563"/>
    <x v="1"/>
    <x v="0"/>
    <x v="4"/>
    <x v="3"/>
    <n v="8"/>
    <n v="59.45"/>
    <x v="0"/>
    <x v="2"/>
    <d v="2024-11-09T00:00:00"/>
    <x v="43"/>
    <x v="0"/>
    <d v="2025-05-14T00:00:00"/>
    <x v="30"/>
    <x v="3"/>
    <n v="3"/>
    <x v="8"/>
    <n v="27"/>
    <x v="2"/>
    <s v="No"/>
  </r>
  <r>
    <s v="CUST-0564"/>
    <x v="0"/>
    <x v="0"/>
    <x v="4"/>
    <x v="3"/>
    <n v="8"/>
    <n v="161.94999999999999"/>
    <x v="4"/>
    <x v="1"/>
    <d v="2025-03-17T00:00:00"/>
    <x v="29"/>
    <x v="1"/>
    <m/>
    <x v="1"/>
    <x v="1"/>
    <n v="10"/>
    <x v="9"/>
    <n v="78"/>
    <x v="1"/>
    <s v="No"/>
  </r>
  <r>
    <s v="CUST-0565"/>
    <x v="2"/>
    <x v="0"/>
    <x v="3"/>
    <x v="3"/>
    <n v="6"/>
    <n v="348.25"/>
    <x v="3"/>
    <x v="2"/>
    <d v="2023-10-27T00:00:00"/>
    <x v="40"/>
    <x v="0"/>
    <d v="2025-11-02T00:00:00"/>
    <x v="22"/>
    <x v="0"/>
    <n v="10"/>
    <x v="5"/>
    <n v="19"/>
    <x v="0"/>
    <s v="No"/>
  </r>
  <r>
    <s v="CUST-0566"/>
    <x v="0"/>
    <x v="0"/>
    <x v="2"/>
    <x v="3"/>
    <n v="8"/>
    <n v="161.94999999999999"/>
    <x v="0"/>
    <x v="1"/>
    <d v="2022-08-24T00:00:00"/>
    <x v="36"/>
    <x v="0"/>
    <d v="2022-09-23T00:00:00"/>
    <x v="7"/>
    <x v="4"/>
    <n v="1"/>
    <x v="0"/>
    <n v="15"/>
    <x v="0"/>
    <s v="No"/>
  </r>
  <r>
    <s v="CUST-0567"/>
    <x v="1"/>
    <x v="1"/>
    <x v="3"/>
    <x v="2"/>
    <n v="27"/>
    <n v="120.78"/>
    <x v="1"/>
    <x v="1"/>
    <d v="2024-06-22T00:00:00"/>
    <x v="19"/>
    <x v="0"/>
    <d v="2024-08-18T00:00:00"/>
    <x v="40"/>
    <x v="4"/>
    <n v="10"/>
    <x v="1"/>
    <n v="11"/>
    <x v="0"/>
    <s v="No"/>
  </r>
  <r>
    <s v="CUST-0568"/>
    <x v="1"/>
    <x v="1"/>
    <x v="7"/>
    <x v="0"/>
    <n v="50"/>
    <n v="205.83"/>
    <x v="3"/>
    <x v="0"/>
    <d v="2025-05-25T00:00:00"/>
    <x v="18"/>
    <x v="1"/>
    <m/>
    <x v="1"/>
    <x v="1"/>
    <n v="5"/>
    <x v="7"/>
    <n v="66"/>
    <x v="1"/>
    <s v="No"/>
  </r>
  <r>
    <s v="CUST-0569"/>
    <x v="0"/>
    <x v="0"/>
    <x v="6"/>
    <x v="2"/>
    <n v="13"/>
    <n v="221.2"/>
    <x v="0"/>
    <x v="1"/>
    <d v="2025-05-31T00:00:00"/>
    <x v="18"/>
    <x v="1"/>
    <m/>
    <x v="1"/>
    <x v="1"/>
    <n v="5"/>
    <x v="8"/>
    <n v="53"/>
    <x v="1"/>
    <s v="No"/>
  </r>
  <r>
    <s v="CUST-0570"/>
    <x v="2"/>
    <x v="1"/>
    <x v="4"/>
    <x v="2"/>
    <n v="23"/>
    <n v="727.34"/>
    <x v="0"/>
    <x v="0"/>
    <d v="2024-05-07T00:00:00"/>
    <x v="22"/>
    <x v="1"/>
    <m/>
    <x v="1"/>
    <x v="1"/>
    <n v="2"/>
    <x v="8"/>
    <n v="19"/>
    <x v="0"/>
    <s v="No"/>
  </r>
  <r>
    <s v="CUST-0571"/>
    <x v="1"/>
    <x v="0"/>
    <x v="8"/>
    <x v="3"/>
    <n v="2"/>
    <n v="33.35"/>
    <x v="3"/>
    <x v="0"/>
    <d v="2022-02-06T00:00:00"/>
    <x v="26"/>
    <x v="0"/>
    <d v="2022-02-14T00:00:00"/>
    <x v="46"/>
    <x v="3"/>
    <n v="15"/>
    <x v="5"/>
    <n v="15"/>
    <x v="0"/>
    <s v="No"/>
  </r>
  <r>
    <s v="CUST-0572"/>
    <x v="1"/>
    <x v="0"/>
    <x v="3"/>
    <x v="3"/>
    <n v="3"/>
    <n v="37.700000000000003"/>
    <x v="5"/>
    <x v="2"/>
    <d v="2022-11-08T00:00:00"/>
    <x v="35"/>
    <x v="0"/>
    <d v="2023-08-16T00:00:00"/>
    <x v="11"/>
    <x v="3"/>
    <n v="6"/>
    <x v="8"/>
    <n v="33"/>
    <x v="2"/>
    <s v="No"/>
  </r>
  <r>
    <s v="CUST-0573"/>
    <x v="0"/>
    <x v="1"/>
    <x v="9"/>
    <x v="0"/>
    <n v="34"/>
    <n v="399.54"/>
    <x v="2"/>
    <x v="2"/>
    <d v="2022-08-16T00:00:00"/>
    <x v="36"/>
    <x v="1"/>
    <m/>
    <x v="1"/>
    <x v="1"/>
    <n v="6"/>
    <x v="8"/>
    <n v="39"/>
    <x v="2"/>
    <s v="No"/>
  </r>
  <r>
    <s v="CUST-0574"/>
    <x v="3"/>
    <x v="0"/>
    <x v="7"/>
    <x v="0"/>
    <n v="78"/>
    <n v="6262.45"/>
    <x v="4"/>
    <x v="0"/>
    <d v="2023-10-05T00:00:00"/>
    <x v="40"/>
    <x v="1"/>
    <m/>
    <x v="1"/>
    <x v="1"/>
    <n v="1"/>
    <x v="6"/>
    <n v="50"/>
    <x v="2"/>
    <s v="Yes"/>
  </r>
  <r>
    <s v="CUST-0575"/>
    <x v="2"/>
    <x v="1"/>
    <x v="9"/>
    <x v="0"/>
    <n v="38"/>
    <n v="1107.93"/>
    <x v="3"/>
    <x v="0"/>
    <d v="2025-11-09T00:00:00"/>
    <x v="41"/>
    <x v="1"/>
    <m/>
    <x v="1"/>
    <x v="1"/>
    <n v="11"/>
    <x v="7"/>
    <n v="26"/>
    <x v="2"/>
    <s v="No"/>
  </r>
  <r>
    <s v="CUST-0576"/>
    <x v="1"/>
    <x v="1"/>
    <x v="3"/>
    <x v="3"/>
    <n v="4"/>
    <n v="35.74"/>
    <x v="2"/>
    <x v="0"/>
    <d v="2024-05-26T00:00:00"/>
    <x v="22"/>
    <x v="0"/>
    <d v="2024-06-14T00:00:00"/>
    <x v="19"/>
    <x v="0"/>
    <n v="1"/>
    <x v="8"/>
    <n v="35"/>
    <x v="2"/>
    <s v="No"/>
  </r>
  <r>
    <s v="CUST-0577"/>
    <x v="1"/>
    <x v="1"/>
    <x v="1"/>
    <x v="4"/>
    <n v="123"/>
    <n v="475.74"/>
    <x v="4"/>
    <x v="0"/>
    <d v="2022-08-18T00:00:00"/>
    <x v="36"/>
    <x v="0"/>
    <d v="2023-08-30T00:00:00"/>
    <x v="11"/>
    <x v="0"/>
    <n v="5"/>
    <x v="0"/>
    <n v="22"/>
    <x v="2"/>
    <s v="No"/>
  </r>
  <r>
    <s v="CUST-0578"/>
    <x v="0"/>
    <x v="0"/>
    <x v="7"/>
    <x v="1"/>
    <n v="74"/>
    <n v="944.05"/>
    <x v="0"/>
    <x v="0"/>
    <d v="2024-03-08T00:00:00"/>
    <x v="6"/>
    <x v="0"/>
    <d v="2025-10-26T00:00:00"/>
    <x v="41"/>
    <x v="7"/>
    <n v="9"/>
    <x v="0"/>
    <n v="38"/>
    <x v="2"/>
    <s v="No"/>
  </r>
  <r>
    <s v="CUST-0579"/>
    <x v="0"/>
    <x v="0"/>
    <x v="1"/>
    <x v="2"/>
    <n v="9"/>
    <n v="173.8"/>
    <x v="1"/>
    <x v="0"/>
    <d v="2025-09-22T00:00:00"/>
    <x v="4"/>
    <x v="1"/>
    <m/>
    <x v="1"/>
    <x v="1"/>
    <n v="8"/>
    <x v="7"/>
    <n v="74"/>
    <x v="1"/>
    <s v="No"/>
  </r>
  <r>
    <s v="CUST-0580"/>
    <x v="0"/>
    <x v="0"/>
    <x v="7"/>
    <x v="4"/>
    <n v="33"/>
    <n v="458.2"/>
    <x v="3"/>
    <x v="0"/>
    <d v="2024-03-20T00:00:00"/>
    <x v="6"/>
    <x v="0"/>
    <d v="2024-09-30T00:00:00"/>
    <x v="21"/>
    <x v="0"/>
    <n v="13"/>
    <x v="3"/>
    <n v="39"/>
    <x v="2"/>
    <s v="No"/>
  </r>
  <r>
    <s v="CUST-0581"/>
    <x v="2"/>
    <x v="0"/>
    <x v="4"/>
    <x v="4"/>
    <n v="105"/>
    <n v="3303.4"/>
    <x v="1"/>
    <x v="2"/>
    <d v="2024-11-10T00:00:00"/>
    <x v="43"/>
    <x v="1"/>
    <m/>
    <x v="1"/>
    <x v="1"/>
    <n v="0"/>
    <x v="7"/>
    <n v="75"/>
    <x v="1"/>
    <s v="Yes"/>
  </r>
  <r>
    <s v="CUST-0582"/>
    <x v="0"/>
    <x v="0"/>
    <x v="9"/>
    <x v="2"/>
    <n v="35"/>
    <n v="481.9"/>
    <x v="2"/>
    <x v="0"/>
    <d v="2023-11-19T00:00:00"/>
    <x v="9"/>
    <x v="0"/>
    <d v="2025-07-16T00:00:00"/>
    <x v="20"/>
    <x v="2"/>
    <n v="0"/>
    <x v="3"/>
    <n v="32"/>
    <x v="2"/>
    <s v="No"/>
  </r>
  <r>
    <s v="CUST-0583"/>
    <x v="0"/>
    <x v="0"/>
    <x v="1"/>
    <x v="3"/>
    <n v="4"/>
    <n v="114.55"/>
    <x v="5"/>
    <x v="0"/>
    <d v="2025-06-17T00:00:00"/>
    <x v="47"/>
    <x v="0"/>
    <d v="2025-06-19T00:00:00"/>
    <x v="3"/>
    <x v="0"/>
    <n v="3"/>
    <x v="8"/>
    <n v="50"/>
    <x v="2"/>
    <s v="No"/>
  </r>
  <r>
    <s v="CUST-0584"/>
    <x v="2"/>
    <x v="0"/>
    <x v="5"/>
    <x v="2"/>
    <n v="18"/>
    <n v="706.45"/>
    <x v="0"/>
    <x v="0"/>
    <d v="2025-10-26T00:00:00"/>
    <x v="39"/>
    <x v="1"/>
    <m/>
    <x v="1"/>
    <x v="1"/>
    <n v="0"/>
    <x v="5"/>
    <n v="37"/>
    <x v="2"/>
    <s v="No"/>
  </r>
  <r>
    <s v="CUST-0585"/>
    <x v="2"/>
    <x v="0"/>
    <x v="4"/>
    <x v="2"/>
    <n v="5"/>
    <n v="318.39999999999998"/>
    <x v="1"/>
    <x v="0"/>
    <d v="2023-11-16T00:00:00"/>
    <x v="9"/>
    <x v="1"/>
    <m/>
    <x v="1"/>
    <x v="1"/>
    <n v="0"/>
    <x v="1"/>
    <n v="77"/>
    <x v="1"/>
    <s v="Yes"/>
  </r>
  <r>
    <s v="CUST-0586"/>
    <x v="1"/>
    <x v="0"/>
    <x v="6"/>
    <x v="4"/>
    <n v="116"/>
    <n v="529.25"/>
    <x v="4"/>
    <x v="0"/>
    <d v="2025-10-11T00:00:00"/>
    <x v="39"/>
    <x v="1"/>
    <m/>
    <x v="1"/>
    <x v="1"/>
    <n v="6"/>
    <x v="0"/>
    <n v="68"/>
    <x v="1"/>
    <s v="No"/>
  </r>
  <r>
    <s v="CUST-0587"/>
    <x v="2"/>
    <x v="0"/>
    <x v="4"/>
    <x v="3"/>
    <n v="1"/>
    <n v="199"/>
    <x v="3"/>
    <x v="3"/>
    <d v="2022-09-04T00:00:00"/>
    <x v="30"/>
    <x v="1"/>
    <m/>
    <x v="1"/>
    <x v="1"/>
    <n v="2"/>
    <x v="4"/>
    <n v="84"/>
    <x v="3"/>
    <s v="Yes"/>
  </r>
  <r>
    <s v="CUST-0588"/>
    <x v="2"/>
    <x v="0"/>
    <x v="0"/>
    <x v="2"/>
    <n v="33"/>
    <n v="1154.2"/>
    <x v="0"/>
    <x v="3"/>
    <d v="2023-01-17T00:00:00"/>
    <x v="3"/>
    <x v="0"/>
    <d v="2025-07-19T00:00:00"/>
    <x v="20"/>
    <x v="3"/>
    <n v="1"/>
    <x v="0"/>
    <n v="37"/>
    <x v="2"/>
    <s v="No"/>
  </r>
  <r>
    <s v="CUST-0589"/>
    <x v="1"/>
    <x v="1"/>
    <x v="6"/>
    <x v="3"/>
    <n v="7"/>
    <n v="46.83"/>
    <x v="3"/>
    <x v="3"/>
    <d v="2023-11-21T00:00:00"/>
    <x v="9"/>
    <x v="0"/>
    <d v="2024-07-08T00:00:00"/>
    <x v="13"/>
    <x v="4"/>
    <n v="11"/>
    <x v="5"/>
    <n v="18"/>
    <x v="0"/>
    <s v="No"/>
  </r>
  <r>
    <s v="CUST-0590"/>
    <x v="1"/>
    <x v="0"/>
    <x v="9"/>
    <x v="2"/>
    <n v="21"/>
    <n v="116"/>
    <x v="0"/>
    <x v="3"/>
    <d v="2023-09-20T00:00:00"/>
    <x v="5"/>
    <x v="0"/>
    <d v="2023-11-21T00:00:00"/>
    <x v="36"/>
    <x v="6"/>
    <n v="11"/>
    <x v="0"/>
    <n v="16"/>
    <x v="0"/>
    <s v="No"/>
  </r>
  <r>
    <s v="CUST-0591"/>
    <x v="2"/>
    <x v="0"/>
    <x v="4"/>
    <x v="2"/>
    <n v="6"/>
    <n v="348.25"/>
    <x v="0"/>
    <x v="0"/>
    <d v="2023-11-22T00:00:00"/>
    <x v="9"/>
    <x v="1"/>
    <m/>
    <x v="1"/>
    <x v="1"/>
    <n v="1"/>
    <x v="3"/>
    <n v="27"/>
    <x v="2"/>
    <s v="Yes"/>
  </r>
  <r>
    <s v="CUST-0592"/>
    <x v="0"/>
    <x v="0"/>
    <x v="5"/>
    <x v="2"/>
    <n v="6"/>
    <n v="138.25"/>
    <x v="2"/>
    <x v="1"/>
    <d v="2022-10-02T00:00:00"/>
    <x v="33"/>
    <x v="0"/>
    <d v="2024-02-13T00:00:00"/>
    <x v="18"/>
    <x v="2"/>
    <n v="5"/>
    <x v="0"/>
    <n v="11"/>
    <x v="0"/>
    <s v="No"/>
  </r>
  <r>
    <s v="CUST-0593"/>
    <x v="2"/>
    <x v="0"/>
    <x v="2"/>
    <x v="0"/>
    <n v="47"/>
    <n v="1572.1"/>
    <x v="0"/>
    <x v="0"/>
    <d v="2023-02-07T00:00:00"/>
    <x v="38"/>
    <x v="1"/>
    <m/>
    <x v="1"/>
    <x v="1"/>
    <n v="1"/>
    <x v="6"/>
    <n v="27"/>
    <x v="2"/>
    <s v="No"/>
  </r>
  <r>
    <s v="CUST-0594"/>
    <x v="2"/>
    <x v="1"/>
    <x v="8"/>
    <x v="0"/>
    <n v="76"/>
    <n v="2072.09"/>
    <x v="0"/>
    <x v="2"/>
    <d v="2022-12-14T00:00:00"/>
    <x v="8"/>
    <x v="0"/>
    <d v="2023-04-10T00:00:00"/>
    <x v="4"/>
    <x v="0"/>
    <n v="4"/>
    <x v="3"/>
    <n v="35"/>
    <x v="2"/>
    <s v="No"/>
  </r>
  <r>
    <s v="CUST-0595"/>
    <x v="2"/>
    <x v="0"/>
    <x v="3"/>
    <x v="2"/>
    <n v="11"/>
    <n v="497.5"/>
    <x v="0"/>
    <x v="1"/>
    <d v="2023-04-11T00:00:00"/>
    <x v="23"/>
    <x v="0"/>
    <d v="2024-11-14T00:00:00"/>
    <x v="15"/>
    <x v="7"/>
    <n v="3"/>
    <x v="0"/>
    <n v="48"/>
    <x v="2"/>
    <s v="No"/>
  </r>
  <r>
    <s v="CUST-0596"/>
    <x v="0"/>
    <x v="1"/>
    <x v="6"/>
    <x v="2"/>
    <n v="32"/>
    <n v="379.4"/>
    <x v="3"/>
    <x v="0"/>
    <d v="2024-12-05T00:00:00"/>
    <x v="13"/>
    <x v="1"/>
    <m/>
    <x v="1"/>
    <x v="1"/>
    <n v="3"/>
    <x v="4"/>
    <n v="65"/>
    <x v="1"/>
    <s v="Yes"/>
  </r>
  <r>
    <s v="CUST-0597"/>
    <x v="0"/>
    <x v="1"/>
    <x v="4"/>
    <x v="4"/>
    <n v="106"/>
    <n v="1124.76"/>
    <x v="1"/>
    <x v="1"/>
    <d v="2023-06-25T00:00:00"/>
    <x v="14"/>
    <x v="1"/>
    <m/>
    <x v="1"/>
    <x v="1"/>
    <n v="3"/>
    <x v="0"/>
    <n v="57"/>
    <x v="1"/>
    <s v="No"/>
  </r>
  <r>
    <s v="CUST-0598"/>
    <x v="1"/>
    <x v="0"/>
    <x v="4"/>
    <x v="4"/>
    <n v="84"/>
    <n v="390.05"/>
    <x v="0"/>
    <x v="3"/>
    <d v="2023-09-05T00:00:00"/>
    <x v="5"/>
    <x v="1"/>
    <m/>
    <x v="1"/>
    <x v="1"/>
    <n v="3"/>
    <x v="1"/>
    <n v="67"/>
    <x v="1"/>
    <s v="No"/>
  </r>
  <r>
    <s v="CUST-0599"/>
    <x v="0"/>
    <x v="1"/>
    <x v="0"/>
    <x v="2"/>
    <n v="18"/>
    <n v="238.38"/>
    <x v="0"/>
    <x v="0"/>
    <d v="2023-06-30T00:00:00"/>
    <x v="14"/>
    <x v="1"/>
    <m/>
    <x v="1"/>
    <x v="1"/>
    <n v="11"/>
    <x v="1"/>
    <n v="50"/>
    <x v="2"/>
    <s v="No"/>
  </r>
  <r>
    <s v="CUST-0600"/>
    <x v="1"/>
    <x v="0"/>
    <x v="5"/>
    <x v="1"/>
    <n v="87"/>
    <n v="403.1"/>
    <x v="2"/>
    <x v="1"/>
    <d v="2025-11-15T00:00:00"/>
    <x v="41"/>
    <x v="1"/>
    <m/>
    <x v="1"/>
    <x v="1"/>
    <n v="10"/>
    <x v="9"/>
    <n v="70"/>
    <x v="1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0"/>
    <n v="5"/>
    <n v="0"/>
    <n v="0"/>
    <n v="0"/>
    <n v="0"/>
    <n v="0"/>
    <n v="164.92"/>
    <n v="0"/>
    <n v="0"/>
  </r>
  <r>
    <x v="1"/>
    <n v="5"/>
    <n v="10"/>
    <n v="1"/>
    <n v="20"/>
    <n v="0.2"/>
    <n v="7333.07"/>
    <n v="1466.61"/>
    <n v="189.21"/>
    <n v="7333.0499999999993"/>
    <n v="1466.61"/>
  </r>
  <r>
    <x v="2"/>
    <n v="14"/>
    <n v="13"/>
    <n v="0"/>
    <n v="0"/>
    <n v="0"/>
    <n v="12301.16"/>
    <n v="878.65"/>
    <n v="139.49"/>
    <n v="8786.5"/>
    <n v="0"/>
  </r>
  <r>
    <x v="3"/>
    <n v="28"/>
    <n v="11"/>
    <n v="3"/>
    <n v="10.71"/>
    <n v="0.10710000000000001"/>
    <n v="24798.76"/>
    <n v="885.67"/>
    <n v="259.08999999999997"/>
    <n v="11513.71"/>
    <n v="2657.0099999999998"/>
  </r>
  <r>
    <x v="4"/>
    <n v="35"/>
    <n v="11"/>
    <n v="1"/>
    <n v="2.86"/>
    <n v="2.86E-2"/>
    <n v="29091.88"/>
    <n v="831.2"/>
    <n v="152.96"/>
    <n v="9143.2000000000007"/>
    <n v="831.2"/>
  </r>
  <r>
    <x v="5"/>
    <n v="46"/>
    <n v="10"/>
    <n v="2"/>
    <n v="4.3499999999999996"/>
    <n v="4.3499999999999997E-2"/>
    <n v="38919.93"/>
    <n v="846.09"/>
    <n v="248.89"/>
    <n v="9306.99"/>
    <n v="1692.18"/>
  </r>
  <r>
    <x v="6"/>
    <n v="53"/>
    <n v="8"/>
    <n v="6"/>
    <n v="11.32"/>
    <n v="0.11320000000000001"/>
    <n v="45097.72"/>
    <n v="850.9"/>
    <n v="275.08"/>
    <n v="8509"/>
    <n v="5105.3999999999996"/>
  </r>
  <r>
    <x v="7"/>
    <n v="57"/>
    <n v="18"/>
    <n v="6"/>
    <n v="10.53"/>
    <n v="0.10529999999999999"/>
    <n v="54140.41"/>
    <n v="949.83"/>
    <n v="193.48"/>
    <n v="7598.64"/>
    <n v="5698.9800000000005"/>
  </r>
  <r>
    <x v="8"/>
    <n v="67"/>
    <n v="13"/>
    <n v="5"/>
    <n v="7.46"/>
    <n v="7.46E-2"/>
    <n v="65198"/>
    <n v="973.1"/>
    <n v="216"/>
    <n v="17515.8"/>
    <n v="4865.5"/>
  </r>
  <r>
    <x v="9"/>
    <n v="76"/>
    <n v="16"/>
    <n v="5"/>
    <n v="6.58"/>
    <n v="6.5799999999999997E-2"/>
    <n v="86824.16"/>
    <n v="1142.42"/>
    <n v="246.32"/>
    <n v="14851.460000000001"/>
    <n v="5712.1"/>
  </r>
  <r>
    <x v="10"/>
    <n v="87"/>
    <n v="14"/>
    <n v="5"/>
    <n v="5.75"/>
    <n v="5.7500000000000002E-2"/>
    <n v="93168.11"/>
    <n v="1070.9000000000001"/>
    <n v="130.12"/>
    <n v="17134.400000000001"/>
    <n v="5354.5"/>
  </r>
  <r>
    <x v="11"/>
    <n v="95"/>
    <n v="14"/>
    <n v="2"/>
    <n v="2.11"/>
    <n v="2.1099999999999997E-2"/>
    <n v="96100.66"/>
    <n v="1011.59"/>
    <n v="160.94"/>
    <n v="14162.26"/>
    <n v="2023.18"/>
  </r>
  <r>
    <x v="12"/>
    <n v="107"/>
    <n v="12"/>
    <n v="4"/>
    <n v="3.74"/>
    <n v="3.7400000000000003E-2"/>
    <n v="104773.35"/>
    <n v="979.19"/>
    <n v="258.64999999999998"/>
    <n v="13708.66"/>
    <n v="3916.76"/>
  </r>
  <r>
    <x v="13"/>
    <n v="115"/>
    <n v="10"/>
    <n v="3"/>
    <n v="2.61"/>
    <n v="2.6099999999999998E-2"/>
    <n v="115539.13"/>
    <n v="1004.69"/>
    <n v="262.48"/>
    <n v="12056.28"/>
    <n v="3014.07"/>
  </r>
  <r>
    <x v="14"/>
    <n v="123"/>
    <n v="5"/>
    <n v="2"/>
    <n v="1.63"/>
    <n v="1.6299999999999999E-2"/>
    <n v="125258.61"/>
    <n v="1018.36"/>
    <n v="274.97000000000003"/>
    <n v="10183.6"/>
    <n v="2036.72"/>
  </r>
  <r>
    <x v="15"/>
    <n v="125"/>
    <n v="14"/>
    <n v="8"/>
    <n v="6.4"/>
    <n v="6.4000000000000001E-2"/>
    <n v="129471.28"/>
    <n v="1035.77"/>
    <n v="271.47000000000003"/>
    <n v="5178.8500000000004"/>
    <n v="8286.16"/>
  </r>
  <r>
    <x v="16"/>
    <n v="133"/>
    <n v="13"/>
    <n v="4"/>
    <n v="3.01"/>
    <n v="3.0099999999999998E-2"/>
    <n v="142401.69"/>
    <n v="1070.69"/>
    <n v="122.99"/>
    <n v="14989.66"/>
    <n v="4282.76"/>
  </r>
  <r>
    <x v="17"/>
    <n v="140"/>
    <n v="15"/>
    <n v="10"/>
    <n v="7.14"/>
    <n v="7.1399999999999991E-2"/>
    <n v="142966.32"/>
    <n v="1021.19"/>
    <n v="161.5"/>
    <n v="13275.470000000001"/>
    <n v="10211.900000000001"/>
  </r>
  <r>
    <x v="18"/>
    <n v="145"/>
    <n v="19"/>
    <n v="7"/>
    <n v="4.83"/>
    <n v="4.8300000000000003E-2"/>
    <n v="147630.35999999999"/>
    <n v="1018.14"/>
    <n v="279.58999999999997"/>
    <n v="15272.1"/>
    <n v="7126.98"/>
  </r>
  <r>
    <x v="19"/>
    <n v="157"/>
    <n v="10"/>
    <n v="7"/>
    <n v="4.46"/>
    <n v="4.4600000000000001E-2"/>
    <n v="158920.70000000001"/>
    <n v="1012.23"/>
    <n v="131.26"/>
    <n v="19232.37"/>
    <n v="7085.6100000000006"/>
  </r>
  <r>
    <x v="20"/>
    <n v="160"/>
    <n v="17"/>
    <n v="7"/>
    <n v="4.38"/>
    <n v="4.3799999999999999E-2"/>
    <n v="162830.01999999999"/>
    <n v="1017.69"/>
    <n v="258.93"/>
    <n v="10176.900000000001"/>
    <n v="7123.83"/>
  </r>
  <r>
    <x v="21"/>
    <n v="170"/>
    <n v="16"/>
    <n v="5"/>
    <n v="2.94"/>
    <n v="2.9399999999999999E-2"/>
    <n v="170763.72"/>
    <n v="1004.49"/>
    <n v="240.01"/>
    <n v="17076.330000000002"/>
    <n v="5022.45"/>
  </r>
  <r>
    <x v="22"/>
    <n v="181"/>
    <n v="11"/>
    <n v="8"/>
    <n v="4.42"/>
    <n v="4.4199999999999996E-2"/>
    <n v="184058.29"/>
    <n v="1016.9"/>
    <n v="178.83"/>
    <n v="16270.4"/>
    <n v="8135.2"/>
  </r>
  <r>
    <x v="23"/>
    <n v="183"/>
    <n v="9"/>
    <n v="7"/>
    <n v="3.83"/>
    <n v="3.8300000000000001E-2"/>
    <n v="189579.35"/>
    <n v="1035.95"/>
    <n v="180.21"/>
    <n v="11395.45"/>
    <n v="7251.6500000000005"/>
  </r>
  <r>
    <x v="24"/>
    <n v="186"/>
    <n v="10"/>
    <n v="7"/>
    <n v="3.76"/>
    <n v="3.7599999999999995E-2"/>
    <n v="191783.54"/>
    <n v="1031.0899999999999"/>
    <n v="275.62"/>
    <n v="9279.81"/>
    <n v="7217.6299999999992"/>
  </r>
  <r>
    <x v="25"/>
    <n v="188"/>
    <n v="7"/>
    <n v="8"/>
    <n v="4.26"/>
    <n v="4.2599999999999999E-2"/>
    <n v="192379.41"/>
    <n v="1023.29"/>
    <n v="142.08000000000001"/>
    <n v="10232.9"/>
    <n v="8186.32"/>
  </r>
  <r>
    <x v="26"/>
    <n v="189"/>
    <n v="19"/>
    <n v="4"/>
    <n v="2.12"/>
    <n v="2.12E-2"/>
    <n v="196219.33"/>
    <n v="1038.2"/>
    <n v="251.87"/>
    <n v="7267.4000000000005"/>
    <n v="4152.8"/>
  </r>
  <r>
    <x v="27"/>
    <n v="203"/>
    <n v="11"/>
    <n v="8"/>
    <n v="3.94"/>
    <n v="3.9399999999999998E-2"/>
    <n v="200076.61"/>
    <n v="985.6"/>
    <n v="212.11"/>
    <n v="18726.400000000001"/>
    <n v="7884.8"/>
  </r>
  <r>
    <x v="28"/>
    <n v="206"/>
    <n v="14"/>
    <n v="8"/>
    <n v="3.88"/>
    <n v="3.8800000000000001E-2"/>
    <n v="217117.58"/>
    <n v="1053.97"/>
    <n v="139.55000000000001"/>
    <n v="11593.67"/>
    <n v="8431.76"/>
  </r>
  <r>
    <x v="29"/>
    <n v="213"/>
    <n v="13"/>
    <n v="9"/>
    <n v="4.2300000000000004"/>
    <n v="4.2300000000000004E-2"/>
    <n v="215810.52"/>
    <n v="1013.19"/>
    <n v="241.12"/>
    <n v="14184.66"/>
    <n v="9118.7100000000009"/>
  </r>
  <r>
    <x v="30"/>
    <n v="216"/>
    <n v="14"/>
    <n v="8"/>
    <n v="3.7"/>
    <n v="3.7000000000000005E-2"/>
    <n v="222303.35999999999"/>
    <n v="1029.18"/>
    <n v="201.02"/>
    <n v="13379.34"/>
    <n v="8233.44"/>
  </r>
  <r>
    <x v="31"/>
    <n v="223"/>
    <n v="12"/>
    <n v="7"/>
    <n v="3.14"/>
    <n v="3.1400000000000004E-2"/>
    <n v="242222.62"/>
    <n v="1086.2"/>
    <n v="128.12"/>
    <n v="15206.800000000001"/>
    <n v="7603.4000000000005"/>
  </r>
  <r>
    <x v="32"/>
    <n v="226"/>
    <n v="11"/>
    <n v="7"/>
    <n v="3.1"/>
    <n v="3.1E-2"/>
    <n v="234749.84"/>
    <n v="1038.72"/>
    <n v="125.59"/>
    <n v="12464.64"/>
    <n v="7271.04"/>
  </r>
  <r>
    <x v="33"/>
    <n v="233"/>
    <n v="13"/>
    <n v="7"/>
    <n v="3"/>
    <n v="0.03"/>
    <n v="239344.73"/>
    <n v="1027.23"/>
    <n v="242.79"/>
    <n v="11299.53"/>
    <n v="7190.6100000000006"/>
  </r>
  <r>
    <x v="34"/>
    <n v="238"/>
    <n v="12"/>
    <n v="9"/>
    <n v="3.78"/>
    <n v="3.78E-2"/>
    <n v="253489.47"/>
    <n v="1065.08"/>
    <n v="234.58"/>
    <n v="13846.039999999999"/>
    <n v="9585.7199999999993"/>
  </r>
  <r>
    <x v="35"/>
    <n v="240"/>
    <n v="15"/>
    <n v="9"/>
    <n v="3.75"/>
    <n v="3.7499999999999999E-2"/>
    <n v="260856.24"/>
    <n v="1086.9000000000001"/>
    <n v="238.17"/>
    <n v="13042.800000000001"/>
    <n v="9782.1"/>
  </r>
  <r>
    <x v="36"/>
    <n v="247"/>
    <n v="13"/>
    <n v="9"/>
    <n v="3.64"/>
    <n v="3.6400000000000002E-2"/>
    <n v="266142.93"/>
    <n v="1077.5"/>
    <n v="218.41"/>
    <n v="16162.5"/>
    <n v="9697.5"/>
  </r>
  <r>
    <x v="37"/>
    <n v="251"/>
    <n v="15"/>
    <n v="8"/>
    <n v="3.19"/>
    <n v="3.1899999999999998E-2"/>
    <n v="274162.53999999998"/>
    <n v="1092.28"/>
    <n v="164.96"/>
    <n v="14199.64"/>
    <n v="8738.24"/>
  </r>
  <r>
    <x v="38"/>
    <n v="257"/>
    <n v="18"/>
    <n v="7"/>
    <n v="2.72"/>
    <n v="2.7200000000000002E-2"/>
    <n v="280928.08"/>
    <n v="1093.1099999999999"/>
    <n v="138.82"/>
    <n v="16396.649999999998"/>
    <n v="7651.7699999999995"/>
  </r>
  <r>
    <x v="39"/>
    <n v="270"/>
    <n v="13"/>
    <n v="17"/>
    <n v="6.3"/>
    <n v="6.3E-2"/>
    <n v="287791.15000000002"/>
    <n v="1065.8900000000001"/>
    <n v="144.11000000000001"/>
    <n v="19186.02"/>
    <n v="18120.13"/>
  </r>
  <r>
    <x v="40"/>
    <n v="264"/>
    <n v="12"/>
    <n v="15"/>
    <n v="5.68"/>
    <n v="5.6799999999999996E-2"/>
    <n v="287207.82"/>
    <n v="1087.9100000000001"/>
    <n v="149.54"/>
    <n v="14142.830000000002"/>
    <n v="16318.650000000001"/>
  </r>
  <r>
    <x v="41"/>
    <n v="261"/>
    <n v="15"/>
    <n v="11"/>
    <n v="4.21"/>
    <n v="4.2099999999999999E-2"/>
    <n v="280683.13"/>
    <n v="1075.4100000000001"/>
    <n v="238.11"/>
    <n v="12904.920000000002"/>
    <n v="11829.51"/>
  </r>
  <r>
    <x v="42"/>
    <n v="265"/>
    <n v="9"/>
    <n v="9"/>
    <n v="3.4"/>
    <n v="3.4000000000000002E-2"/>
    <n v="287661.73"/>
    <n v="1085.52"/>
    <n v="150.51"/>
    <n v="16282.8"/>
    <n v="9769.68"/>
  </r>
  <r>
    <x v="43"/>
    <n v="265"/>
    <n v="7"/>
    <n v="7"/>
    <n v="2.64"/>
    <n v="2.64E-2"/>
    <n v="287743"/>
    <n v="1085.82"/>
    <n v="129.38"/>
    <n v="9772.3799999999992"/>
    <n v="7600.74"/>
  </r>
  <r>
    <x v="44"/>
    <n v="265"/>
    <n v="13"/>
    <n v="9"/>
    <n v="3.4"/>
    <n v="3.4000000000000002E-2"/>
    <n v="290824.44"/>
    <n v="1097.45"/>
    <n v="182.15"/>
    <n v="7682.1500000000005"/>
    <n v="9877.0500000000011"/>
  </r>
  <r>
    <x v="45"/>
    <n v="269"/>
    <n v="18"/>
    <n v="9"/>
    <n v="3.35"/>
    <n v="3.3500000000000002E-2"/>
    <n v="280089.15000000002"/>
    <n v="1041.22"/>
    <n v="250.08"/>
    <n v="13535.86"/>
    <n v="9370.98"/>
  </r>
  <r>
    <x v="46"/>
    <n v="278"/>
    <n v="11"/>
    <n v="9"/>
    <n v="3.24"/>
    <n v="3.2400000000000005E-2"/>
    <n v="285261.36"/>
    <n v="1026.1199999999999"/>
    <n v="254.4"/>
    <n v="18470.159999999996"/>
    <n v="9235.0799999999981"/>
  </r>
  <r>
    <x v="47"/>
    <n v="281"/>
    <n v="11"/>
    <n v="4"/>
    <n v="1.42"/>
    <n v="1.4199999999999999E-2"/>
    <n v="292628.61"/>
    <n v="1041.3800000000001"/>
    <n v="151.47"/>
    <n v="11455.18"/>
    <n v="4165.52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93AC4-5D2A-410C-96EF-4A009166A4E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0" firstDataRow="1" firstDataCol="1"/>
  <pivotFields count="15">
    <pivotField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dataField="1" dragToRow="0" dragToCol="0" dragToPage="0" showAll="0" defaultSubtotal="0"/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total_mrr" fld="6" baseField="0" baseItem="0" numFmtId="43"/>
    <dataField name="revenue growth" fld="6" showDataAs="percentDiff" baseField="13" baseItem="1048828" numFmtId="10"/>
    <dataField name="Sum of New MRR" fld="9" baseField="0" baseItem="0" numFmtId="43"/>
    <dataField name="new mrr growth" fld="9" showDataAs="percentDiff" baseField="13" baseItem="1048828" numFmtId="10"/>
    <dataField name="Sum of Churned MRR" fld="10" baseField="0" baseItem="0" numFmtId="43"/>
    <dataField name="churned mrr growth" fld="10" showDataAs="percentDiff" baseField="13" baseItem="1048828" numFmtId="10"/>
    <dataField name="Sum of Different" fld="14" baseField="0" baseItem="0" numFmtId="43"/>
    <dataField name="different new vs churned" fld="14" showDataAs="percentDiff" baseField="13" baseItem="1048828" numFmtId="10"/>
  </dataFields>
  <formats count="4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6">
      <pivotArea outline="0" fieldPosition="0">
        <references count="1">
          <reference field="4294967294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53A5F-1442-492D-82DA-EBCCD09E3D0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61" firstHeaderRow="0" firstDataRow="1" firstDataCol="1"/>
  <pivotFields count="15">
    <pivotField axis="axisRow"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dragToRow="0" dragToCol="0" dragToPage="0" showAll="0" defaultSubtota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mrr" fld="6" baseField="0" baseItem="0"/>
    <dataField name="Sum of New MRR" fld="9" baseField="0" baseItem="0"/>
    <dataField name="Sum of Churned MRR" fld="10" baseField="0" baseItem="0"/>
  </dataFields>
  <conditionalFormats count="3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4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4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3BE16-9C70-4650-B047-3D66EE7AF08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O8" firstHeaderRow="0" firstDataRow="1" firstDataCol="1"/>
  <pivotFields count="15">
    <pivotField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ed_customers" fld="3" baseField="0" baseItem="0"/>
    <dataField name="Sum of churned_customers2" fld="3" showDataAs="percentDiff" baseField="13" baseItem="1048828" numFmtId="1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2E310-6332-41E1-8E2E-82EA72D8E2DC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5">
    <pivotField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onthly_churn_rate_pct" fld="4" subtotal="average" baseField="11" baseItem="1" numFmtId="2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FC163-00CA-462F-9954-6CF76194906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:K52" firstHeaderRow="0" firstDataRow="1" firstDataCol="1"/>
  <pivotFields count="15">
    <pivotField axis="axisRow"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hurned_customers" fld="3" baseField="0" baseItem="0"/>
    <dataField name="Sum of churned_customers2" fld="3" showDataAs="percentDiff" baseField="0" baseItem="1048828" numFmtId="10"/>
    <dataField name="Sum of new_customers" fld="2" baseField="0" baseItem="0"/>
    <dataField name="Sum of new_customers2" fld="2" showDataAs="percentDiff" baseField="0" baseItem="1048828" numFmtId="10"/>
  </dataFields>
  <formats count="3">
    <format dxfId="5">
      <pivotArea outline="0" collapsedLevelsAreSubtotals="1" fieldPosition="0"/>
    </format>
    <format dxfId="4">
      <pivotArea outline="0" fieldPosition="0">
        <references count="1">
          <reference field="4294967294" count="1">
            <x v="1"/>
          </reference>
        </references>
      </pivotArea>
    </format>
    <format dxfId="3">
      <pivotArea outline="0" fieldPosition="0">
        <references count="1">
          <reference field="4294967294" count="1">
            <x v="3"/>
          </reference>
        </references>
      </pivotArea>
    </format>
  </format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9CB68-7BEA-407F-B712-2CEE083E49D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F35" firstHeaderRow="1" firstDataRow="2" firstDataCol="1"/>
  <pivotFields count="23">
    <pivotField dataField="1" showAll="0"/>
    <pivotField showAll="0"/>
    <pivotField showAll="0">
      <items count="3">
        <item x="1"/>
        <item x="0"/>
        <item t="default"/>
      </items>
    </pivotField>
    <pivotField showAll="0" sortType="descending">
      <items count="11">
        <item x="9"/>
        <item x="7"/>
        <item x="1"/>
        <item x="6"/>
        <item x="8"/>
        <item x="3"/>
        <item x="5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6">
        <item x="3"/>
        <item x="2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18"/>
  </colFields>
  <colItems count="5">
    <i>
      <x v="1"/>
    </i>
    <i>
      <x v="3"/>
    </i>
    <i>
      <x/>
    </i>
    <i>
      <x v="2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49D38-E7A3-4B11-844F-54F8CBEE5C6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F29" firstHeaderRow="1" firstDataRow="2" firstDataCol="1"/>
  <pivotFields count="23">
    <pivotField dataField="1" showAll="0"/>
    <pivotField showAll="0"/>
    <pivotField showAll="0">
      <items count="3">
        <item x="1"/>
        <item x="0"/>
        <item t="default"/>
      </items>
    </pivotField>
    <pivotField showAll="0" sortType="descending">
      <items count="11">
        <item x="9"/>
        <item x="7"/>
        <item x="1"/>
        <item x="6"/>
        <item x="8"/>
        <item x="3"/>
        <item x="5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6">
        <item x="3"/>
        <item x="2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8"/>
  </colFields>
  <colItems count="5">
    <i>
      <x v="3"/>
    </i>
    <i>
      <x v="1"/>
    </i>
    <i>
      <x/>
    </i>
    <i>
      <x v="2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CDC0D-16B7-418D-9375-252E243DA9E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G23" firstHeaderRow="1" firstDataRow="2" firstDataCol="1"/>
  <pivotFields count="23">
    <pivotField dataField="1" showAll="0"/>
    <pivotField showAll="0"/>
    <pivotField showAll="0">
      <items count="3">
        <item x="1"/>
        <item x="0"/>
        <item t="default"/>
      </items>
    </pivotField>
    <pivotField showAll="0" sortType="descending">
      <items count="11">
        <item x="9"/>
        <item x="7"/>
        <item x="1"/>
        <item x="6"/>
        <item x="8"/>
        <item x="3"/>
        <item x="5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descending">
      <items count="6">
        <item x="3"/>
        <item x="2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4"/>
  </colFields>
  <colItems count="6">
    <i>
      <x v="1"/>
    </i>
    <i>
      <x/>
    </i>
    <i>
      <x v="4"/>
    </i>
    <i>
      <x v="2"/>
    </i>
    <i>
      <x v="3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5064A-90DE-4887-865D-F7ED374040D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L16" firstHeaderRow="1" firstDataRow="2" firstDataCol="1"/>
  <pivotFields count="23">
    <pivotField dataField="1" showAll="0"/>
    <pivotField showAll="0"/>
    <pivotField showAll="0">
      <items count="3">
        <item x="1"/>
        <item x="0"/>
        <item t="default"/>
      </items>
    </pivotField>
    <pivotField axis="axisCol" showAll="0" sortType="descending">
      <items count="11">
        <item x="9"/>
        <item x="7"/>
        <item x="1"/>
        <item x="6"/>
        <item x="8"/>
        <item x="3"/>
        <item x="5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3"/>
  </colFields>
  <colItems count="11">
    <i>
      <x v="1"/>
    </i>
    <i>
      <x v="5"/>
    </i>
    <i>
      <x/>
    </i>
    <i>
      <x v="3"/>
    </i>
    <i>
      <x v="7"/>
    </i>
    <i>
      <x v="2"/>
    </i>
    <i>
      <x v="4"/>
    </i>
    <i>
      <x v="6"/>
    </i>
    <i>
      <x v="8"/>
    </i>
    <i>
      <x v="9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ACB94-DD6C-4F57-AD8D-59C221C9C18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3">
    <pivotField dataField="1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4CA2C-ECBA-441D-AA2E-56705A1D4DB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L29" firstHeaderRow="1" firstDataRow="2" firstDataCol="1" rowPageCount="1" colPageCount="1"/>
  <pivotFields count="23">
    <pivotField dataField="1" showAll="0"/>
    <pivotField showAll="0"/>
    <pivotField showAll="0"/>
    <pivotField axis="axisCol" showAll="0">
      <items count="11">
        <item x="9"/>
        <item x="7"/>
        <item x="1"/>
        <item x="6"/>
        <item x="8"/>
        <item x="3"/>
        <item x="5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1">
        <item x="5"/>
        <item x="3"/>
        <item x="0"/>
        <item x="1"/>
        <item x="8"/>
        <item x="4"/>
        <item x="2"/>
        <item x="7"/>
        <item x="6"/>
        <item x="9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11" item="1" hier="-1"/>
  </pageField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EAD7D-7980-44AA-9125-DD5CD95E46C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5" firstHeaderRow="1" firstDataRow="2" firstDataCol="1"/>
  <pivotFields count="23">
    <pivotField dataField="1" showAll="0"/>
    <pivotField showAll="0"/>
    <pivotField showAll="0"/>
    <pivotField axis="axisCol" showAll="0">
      <items count="11">
        <item x="9"/>
        <item x="7"/>
        <item x="1"/>
        <item x="6"/>
        <item x="8"/>
        <item x="3"/>
        <item x="5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5"/>
        <item x="3"/>
        <item x="0"/>
        <item x="1"/>
        <item x="8"/>
        <item x="4"/>
        <item x="2"/>
        <item x="7"/>
        <item x="6"/>
        <item x="9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customer_id" fld="0" subtotal="count" baseField="0" baseItem="0"/>
  </dataFields>
  <conditionalFormats count="10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9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8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7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6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5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4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3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2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1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0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8DE69-860C-41F5-A26C-8CC40DE2EB7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L40" firstHeaderRow="1" firstDataRow="2" firstDataCol="1"/>
  <pivotFields count="23">
    <pivotField dataField="1" showAll="0"/>
    <pivotField showAll="0"/>
    <pivotField showAll="0"/>
    <pivotField showAll="0">
      <items count="11">
        <item x="9"/>
        <item x="7"/>
        <item x="1"/>
        <item x="6"/>
        <item x="8"/>
        <item x="3"/>
        <item x="5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Col" showAll="0">
      <items count="11">
        <item x="5"/>
        <item x="3"/>
        <item x="0"/>
        <item x="1"/>
        <item x="8"/>
        <item x="4"/>
        <item x="2"/>
        <item x="7"/>
        <item x="6"/>
        <item x="9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1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6F76A-5FEB-4D03-80E5-7EEDB771BE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1" firstHeaderRow="1" firstDataRow="2" firstDataCol="1"/>
  <pivotFields count="23">
    <pivotField dataField="1"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showAll="0"/>
    <pivotField showAll="0"/>
    <pivotField axis="axisRow" showAll="0">
      <items count="48">
        <item h="1" x="1"/>
        <item x="46"/>
        <item x="42"/>
        <item x="37"/>
        <item x="38"/>
        <item x="14"/>
        <item x="16"/>
        <item x="7"/>
        <item x="43"/>
        <item x="26"/>
        <item x="45"/>
        <item x="9"/>
        <item x="44"/>
        <item x="24"/>
        <item x="4"/>
        <item x="17"/>
        <item x="6"/>
        <item x="39"/>
        <item x="11"/>
        <item x="33"/>
        <item x="31"/>
        <item x="36"/>
        <item x="5"/>
        <item x="28"/>
        <item x="18"/>
        <item x="0"/>
        <item x="12"/>
        <item x="8"/>
        <item x="19"/>
        <item x="13"/>
        <item x="40"/>
        <item x="21"/>
        <item x="25"/>
        <item x="15"/>
        <item x="10"/>
        <item x="35"/>
        <item x="32"/>
        <item x="29"/>
        <item x="2"/>
        <item x="30"/>
        <item x="3"/>
        <item x="20"/>
        <item x="23"/>
        <item x="27"/>
        <item x="41"/>
        <item x="22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3"/>
  </rowFields>
  <rowItems count="4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1CB42D3-4A90-4716-916B-64EDC8B6613A}" autoFormatId="16" applyNumberFormats="0" applyBorderFormats="0" applyFontFormats="0" applyPatternFormats="0" applyAlignmentFormats="0" applyWidthHeightFormats="0">
  <queryTableRefresh nextId="21">
    <queryTableFields count="20">
      <queryTableField id="1" name="customer_id" tableColumnId="1"/>
      <queryTableField id="2" name="plan" tableColumnId="2"/>
      <queryTableField id="3" name="billing_cycle" tableColumnId="3"/>
      <queryTableField id="4" name="industry" tableColumnId="4"/>
      <queryTableField id="5" name="company_size" tableColumnId="5"/>
      <queryTableField id="6" name="seats" tableColumnId="6"/>
      <queryTableField id="7" name="monthly_revenue" tableColumnId="7"/>
      <queryTableField id="8" name="acquisition_channel" tableColumnId="8"/>
      <queryTableField id="9" name="region" tableColumnId="9"/>
      <queryTableField id="10" name="signup_date" tableColumnId="10"/>
      <queryTableField id="19" dataBound="0" tableColumnId="19"/>
      <queryTableField id="11" name="churned" tableColumnId="11"/>
      <queryTableField id="12" name="churn_date" tableColumnId="12"/>
      <queryTableField id="18" dataBound="0" tableColumnId="18"/>
      <queryTableField id="13" name="churn_reason" tableColumnId="13"/>
      <queryTableField id="14" name="support_tickets_12mo" tableColumnId="14"/>
      <queryTableField id="15" name="nps_score" tableColumnId="15"/>
      <queryTableField id="16" name="feature_usage_pct" tableColumnId="16"/>
      <queryTableField id="20" dataBound="0" tableColumnId="20"/>
      <queryTableField id="17" name="upgraded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D9F1DD-E1DA-43B8-A665-29187604B2EE}" autoFormatId="16" applyNumberFormats="0" applyBorderFormats="0" applyFontFormats="0" applyPatternFormats="0" applyAlignmentFormats="0" applyWidthHeightFormats="0">
  <queryTableRefresh nextId="17" unboundColumnsRight="2">
    <queryTableFields count="11">
      <queryTableField id="1" name="month" tableColumnId="1"/>
      <queryTableField id="2" name="total_active_customers" tableColumnId="2"/>
      <queryTableField id="3" name="new_customers" tableColumnId="3"/>
      <queryTableField id="4" name="churned_customers" tableColumnId="4"/>
      <queryTableField id="5" name="monthly_churn_rate_pct" tableColumnId="5"/>
      <queryTableField id="12" dataBound="0" tableColumnId="9"/>
      <queryTableField id="6" name="total_mrr" tableColumnId="6"/>
      <queryTableField id="7" name="avg_revenue_per_customer" tableColumnId="7"/>
      <queryTableField id="8" name="customer_acquisition_cost" tableColumnId="8"/>
      <queryTableField id="14" dataBound="0" tableColumnId="10"/>
      <queryTableField id="15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237721-ABE6-4EA8-BBD9-F7C5D4571951}" name="subscriptions" displayName="subscriptions" ref="A1:T601" tableType="queryTable" totalsRowShown="0">
  <autoFilter ref="A1:T601" xr:uid="{8B237721-ABE6-4EA8-BBD9-F7C5D4571951}"/>
  <tableColumns count="20">
    <tableColumn id="1" xr3:uid="{A1B48D1F-49A2-42C6-9C9E-00067AA6521E}" uniqueName="1" name="customer_id" queryTableFieldId="1" dataDxfId="28"/>
    <tableColumn id="2" xr3:uid="{EDE982CA-DFC0-4B2D-9091-8F1D01FEA092}" uniqueName="2" name="plan" queryTableFieldId="2" dataDxfId="27"/>
    <tableColumn id="3" xr3:uid="{A8BB737B-6BD2-4F04-81C9-6303CB6F1CED}" uniqueName="3" name="billing_cycle" queryTableFieldId="3" dataDxfId="26"/>
    <tableColumn id="4" xr3:uid="{2B1F9B77-A88D-4C32-BE2A-3DCBF7C081CA}" uniqueName="4" name="industry" queryTableFieldId="4" dataDxfId="25"/>
    <tableColumn id="5" xr3:uid="{77327747-B9D4-4AF5-B462-6E4AD099861C}" uniqueName="5" name="company_size" queryTableFieldId="5" dataDxfId="24"/>
    <tableColumn id="6" xr3:uid="{A69AF2DD-D248-4F61-9990-2058EB3141F1}" uniqueName="6" name="seats" queryTableFieldId="6"/>
    <tableColumn id="7" xr3:uid="{FACCE553-B6B6-4924-9F65-762671D8B843}" uniqueName="7" name="monthly_revenue" queryTableFieldId="7"/>
    <tableColumn id="8" xr3:uid="{F6F51981-B9DD-4F70-A8E6-677B2C077D44}" uniqueName="8" name="acquisition_channel" queryTableFieldId="8" dataDxfId="23"/>
    <tableColumn id="9" xr3:uid="{55D78DBC-ECFD-40A9-AB32-854CDC85D497}" uniqueName="9" name="region" queryTableFieldId="9" dataDxfId="22"/>
    <tableColumn id="10" xr3:uid="{C28267FC-8FBF-4852-B7DE-6AAB4BA27C08}" uniqueName="10" name="signup_date" queryTableFieldId="10" dataDxfId="21"/>
    <tableColumn id="19" xr3:uid="{08D19C1C-AE55-4D8D-81A9-0714D7233208}" uniqueName="19" name="signup_month" queryTableFieldId="19" dataDxfId="20">
      <calculatedColumnFormula>DATE(YEAR(subscriptions[[#This Row],[signup_date]]),MONTH(subscriptions[[#This Row],[signup_date]]),1)</calculatedColumnFormula>
    </tableColumn>
    <tableColumn id="11" xr3:uid="{56679A41-3180-4B21-BF76-2BB5A2114172}" uniqueName="11" name="churned" queryTableFieldId="11" dataDxfId="19"/>
    <tableColumn id="12" xr3:uid="{A19F728F-F29A-46C2-BF28-CF8AFD94D72E}" uniqueName="12" name="churn_date" queryTableFieldId="12" dataDxfId="18"/>
    <tableColumn id="18" xr3:uid="{823A2B3A-F29F-49A4-97F5-6624800F9FBF}" uniqueName="18" name="churn_month" queryTableFieldId="18" dataDxfId="17">
      <calculatedColumnFormula>IF(subscriptions[[#This Row],[churn_date]]="","",DATE(YEAR(subscriptions[[#This Row],[churn_date]]),MONTH(subscriptions[[#This Row],[churn_date]]),1))</calculatedColumnFormula>
    </tableColumn>
    <tableColumn id="13" xr3:uid="{35A1B3EB-A83E-40CC-AFB8-08331727C1F9}" uniqueName="13" name="churn_reason" queryTableFieldId="13" dataDxfId="16"/>
    <tableColumn id="14" xr3:uid="{EBDA84EE-86C3-402E-A53F-9BC4F696720C}" uniqueName="14" name="support_tickets_12mo" queryTableFieldId="14"/>
    <tableColumn id="15" xr3:uid="{840BE263-1EC3-4B68-9DBC-9E404EC153D2}" uniqueName="15" name="nps_score" queryTableFieldId="15"/>
    <tableColumn id="16" xr3:uid="{49D47107-1EDA-4013-9339-D892B77EF6B2}" uniqueName="16" name="feature_usage_pct" queryTableFieldId="16"/>
    <tableColumn id="20" xr3:uid="{D2A2C136-86F4-40B4-8A1C-433BBEA113A7}" uniqueName="20" name="usage_feature" queryTableFieldId="20" dataDxfId="15">
      <calculatedColumnFormula>IF(R2&lt;=20,"Very Low Usage",
IF(R2&lt;=50,"Moderate Usage",
IF(R2&lt;=80,"High Usage",
"Very High Usage")))</calculatedColumnFormula>
    </tableColumn>
    <tableColumn id="17" xr3:uid="{B036D861-877E-44D6-B2F4-6A00E3E67852}" uniqueName="17" name="upgraded" queryTableFieldId="17" dataDxfId="1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CE4610-7A61-45E3-BE59-F3267785944C}" name="monthly_revenue" displayName="monthly_revenue" ref="A1:K49" tableType="queryTable" totalsRowShown="0">
  <autoFilter ref="A1:K49" xr:uid="{56CE4610-7A61-45E3-BE59-F3267785944C}"/>
  <tableColumns count="11">
    <tableColumn id="1" xr3:uid="{27C43E0B-9333-430F-9A1E-94E2D7BF669E}" uniqueName="1" name="month" queryTableFieldId="1" dataDxfId="13"/>
    <tableColumn id="2" xr3:uid="{45B7C422-D637-4CE5-858F-CE4E02B3D1FE}" uniqueName="2" name="total_active_customers" queryTableFieldId="2"/>
    <tableColumn id="3" xr3:uid="{CA6354C7-E88A-407B-8394-43A9B766F41A}" uniqueName="3" name="new_customers" queryTableFieldId="3"/>
    <tableColumn id="4" xr3:uid="{2CBF958D-A865-458E-A14B-942A9E685DFD}" uniqueName="4" name="churned_customers" queryTableFieldId="4"/>
    <tableColumn id="5" xr3:uid="{D670EE99-7F66-4F2F-BA7B-CBAAD8AE31A7}" uniqueName="5" name="monthly_churn_rate_pct" queryTableFieldId="5"/>
    <tableColumn id="9" xr3:uid="{C695C5E5-0D51-4430-B859-7282C57BAAAF}" uniqueName="9" name="montlhy_churn_rate_num" queryTableFieldId="12" dataDxfId="12">
      <calculatedColumnFormula>monthly_revenue[[#This Row],[monthly_churn_rate_pct]]/100</calculatedColumnFormula>
    </tableColumn>
    <tableColumn id="6" xr3:uid="{F2FB0C39-FC1D-4055-AAE5-E513CD0D0AF6}" uniqueName="6" name="total_mrr" queryTableFieldId="6"/>
    <tableColumn id="7" xr3:uid="{239951C5-327C-42C0-98CD-A6A1C29817E5}" uniqueName="7" name="avg_revenue_per_customer" queryTableFieldId="7"/>
    <tableColumn id="8" xr3:uid="{D6A50B50-5B49-4F93-9FA8-32AB0271E316}" uniqueName="8" name="customer_acquisition_cost" queryTableFieldId="8"/>
    <tableColumn id="10" xr3:uid="{3DF82984-3ED2-47BC-9669-57D60ED486F3}" uniqueName="10" name="new mrr" queryTableFieldId="14" dataDxfId="11">
      <calculatedColumnFormula>C1*monthly_revenue[[#This Row],[avg_revenue_per_customer]]</calculatedColumnFormula>
    </tableColumn>
    <tableColumn id="11" xr3:uid="{7B089244-AA49-481D-A4EC-FE48BB51AF9E}" uniqueName="11" name="churned mrr" queryTableFieldId="15" dataDxfId="10">
      <calculatedColumnFormula>monthly_revenue[[#This Row],[avg_revenue_per_customer]]*monthly_revenue[[#This Row],[churned_customers]]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A147-4A44-42FF-9E9D-3A51AAE6C747}">
  <dimension ref="A1:T601"/>
  <sheetViews>
    <sheetView workbookViewId="0">
      <selection activeCell="H10" sqref="H10"/>
    </sheetView>
  </sheetViews>
  <sheetFormatPr defaultRowHeight="14.4" x14ac:dyDescent="0.3"/>
  <cols>
    <col min="1" max="1" width="13.5546875" bestFit="1" customWidth="1"/>
    <col min="2" max="2" width="11" bestFit="1" customWidth="1"/>
    <col min="3" max="3" width="13.6640625" bestFit="1" customWidth="1"/>
    <col min="4" max="4" width="12.5546875" bestFit="1" customWidth="1"/>
    <col min="5" max="5" width="15" bestFit="1" customWidth="1"/>
    <col min="6" max="6" width="7.6640625" bestFit="1" customWidth="1"/>
    <col min="7" max="7" width="17.44140625" bestFit="1" customWidth="1"/>
    <col min="8" max="8" width="20.109375" bestFit="1" customWidth="1"/>
    <col min="9" max="9" width="12.6640625" bestFit="1" customWidth="1"/>
    <col min="10" max="10" width="13.21875" bestFit="1" customWidth="1"/>
    <col min="11" max="11" width="13.21875" customWidth="1"/>
    <col min="12" max="12" width="10" bestFit="1" customWidth="1"/>
    <col min="13" max="13" width="12.44140625" bestFit="1" customWidth="1"/>
    <col min="14" max="14" width="12.44140625" customWidth="1"/>
    <col min="15" max="15" width="17.88671875" bestFit="1" customWidth="1"/>
    <col min="16" max="16" width="21.88671875" bestFit="1" customWidth="1"/>
    <col min="17" max="17" width="11.5546875" bestFit="1" customWidth="1"/>
    <col min="18" max="18" width="18.33203125" bestFit="1" customWidth="1"/>
    <col min="19" max="19" width="18.33203125" customWidth="1"/>
    <col min="20" max="20" width="11.109375" bestFit="1" customWidth="1"/>
  </cols>
  <sheetData>
    <row r="1" spans="1:20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667</v>
      </c>
      <c r="L1" t="s">
        <v>18</v>
      </c>
      <c r="M1" t="s">
        <v>19</v>
      </c>
      <c r="N1" t="s">
        <v>666</v>
      </c>
      <c r="O1" t="s">
        <v>20</v>
      </c>
      <c r="P1" t="s">
        <v>21</v>
      </c>
      <c r="Q1" t="s">
        <v>22</v>
      </c>
      <c r="R1" t="s">
        <v>23</v>
      </c>
      <c r="S1" t="s">
        <v>673</v>
      </c>
      <c r="T1" t="s">
        <v>24</v>
      </c>
    </row>
    <row r="2" spans="1:20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64</v>
      </c>
      <c r="G2">
        <v>825.55</v>
      </c>
      <c r="H2" t="s">
        <v>30</v>
      </c>
      <c r="I2" t="s">
        <v>31</v>
      </c>
      <c r="J2" s="1">
        <v>44739</v>
      </c>
      <c r="K2" s="1">
        <f>DATE(YEAR(subscriptions[[#This Row],[signup_date]]),MONTH(subscriptions[[#This Row],[signup_date]]),1)</f>
        <v>44713</v>
      </c>
      <c r="L2" t="s">
        <v>32</v>
      </c>
      <c r="M2" s="1">
        <v>45356</v>
      </c>
      <c r="N2" s="1">
        <f>IF(subscriptions[[#This Row],[churn_date]]="","",DATE(YEAR(subscriptions[[#This Row],[churn_date]]),MONTH(subscriptions[[#This Row],[churn_date]]),1))</f>
        <v>45352</v>
      </c>
      <c r="O2" t="s">
        <v>33</v>
      </c>
      <c r="P2">
        <v>13</v>
      </c>
      <c r="Q2">
        <v>3</v>
      </c>
      <c r="R2">
        <v>15</v>
      </c>
      <c r="S2" t="str">
        <f t="shared" ref="S2:S65" si="0">IF(R2&lt;=20,"Very Low Usage",
IF(R2&lt;=50,"Moderate Usage",
IF(R2&lt;=80,"High Usage",
"Very High Usage")))</f>
        <v>Very Low Usage</v>
      </c>
      <c r="T2" t="s">
        <v>34</v>
      </c>
    </row>
    <row r="3" spans="1:20" x14ac:dyDescent="0.3">
      <c r="A3" t="s">
        <v>35</v>
      </c>
      <c r="B3" t="s">
        <v>26</v>
      </c>
      <c r="C3" t="s">
        <v>36</v>
      </c>
      <c r="D3" t="s">
        <v>28</v>
      </c>
      <c r="E3" t="s">
        <v>29</v>
      </c>
      <c r="F3">
        <v>35</v>
      </c>
      <c r="G3">
        <v>409.62</v>
      </c>
      <c r="H3" t="s">
        <v>37</v>
      </c>
      <c r="I3" t="s">
        <v>31</v>
      </c>
      <c r="J3" s="1">
        <v>45004</v>
      </c>
      <c r="K3" s="1">
        <f>DATE(YEAR(subscriptions[[#This Row],[signup_date]]),MONTH(subscriptions[[#This Row],[signup_date]]),1)</f>
        <v>44986</v>
      </c>
      <c r="L3" t="s">
        <v>34</v>
      </c>
      <c r="M3" s="1"/>
      <c r="N3" s="1" t="str">
        <f>IF(subscriptions[[#This Row],[churn_date]]="","",DATE(YEAR(subscriptions[[#This Row],[churn_date]]),MONTH(subscriptions[[#This Row],[churn_date]]),1))</f>
        <v/>
      </c>
      <c r="O3" t="s">
        <v>38</v>
      </c>
      <c r="P3">
        <v>1</v>
      </c>
      <c r="Q3">
        <v>3</v>
      </c>
      <c r="R3">
        <v>52</v>
      </c>
      <c r="S3" t="str">
        <f t="shared" si="0"/>
        <v>High Usage</v>
      </c>
      <c r="T3" t="s">
        <v>32</v>
      </c>
    </row>
    <row r="4" spans="1:20" x14ac:dyDescent="0.3">
      <c r="A4" t="s">
        <v>39</v>
      </c>
      <c r="B4" t="s">
        <v>40</v>
      </c>
      <c r="C4" t="s">
        <v>36</v>
      </c>
      <c r="D4" t="s">
        <v>41</v>
      </c>
      <c r="E4" t="s">
        <v>42</v>
      </c>
      <c r="F4">
        <v>266</v>
      </c>
      <c r="G4">
        <v>1004.49</v>
      </c>
      <c r="H4" t="s">
        <v>43</v>
      </c>
      <c r="I4" t="s">
        <v>31</v>
      </c>
      <c r="J4" s="1">
        <v>45584</v>
      </c>
      <c r="K4" s="1">
        <f>DATE(YEAR(subscriptions[[#This Row],[signup_date]]),MONTH(subscriptions[[#This Row],[signup_date]]),1)</f>
        <v>45566</v>
      </c>
      <c r="L4" t="s">
        <v>32</v>
      </c>
      <c r="M4" s="1">
        <v>45760</v>
      </c>
      <c r="N4" s="1">
        <f>IF(subscriptions[[#This Row],[churn_date]]="","",DATE(YEAR(subscriptions[[#This Row],[churn_date]]),MONTH(subscriptions[[#This Row],[churn_date]]),1))</f>
        <v>45748</v>
      </c>
      <c r="O4" t="s">
        <v>33</v>
      </c>
      <c r="P4">
        <v>10</v>
      </c>
      <c r="Q4">
        <v>4</v>
      </c>
      <c r="R4">
        <v>31</v>
      </c>
      <c r="S4" t="str">
        <f t="shared" si="0"/>
        <v>Moderate Usage</v>
      </c>
      <c r="T4" t="s">
        <v>34</v>
      </c>
    </row>
    <row r="5" spans="1:20" x14ac:dyDescent="0.3">
      <c r="A5" t="s">
        <v>44</v>
      </c>
      <c r="B5" t="s">
        <v>45</v>
      </c>
      <c r="C5" t="s">
        <v>36</v>
      </c>
      <c r="D5" t="s">
        <v>46</v>
      </c>
      <c r="E5" t="s">
        <v>47</v>
      </c>
      <c r="F5">
        <v>34</v>
      </c>
      <c r="G5">
        <v>1006.44</v>
      </c>
      <c r="H5" t="s">
        <v>43</v>
      </c>
      <c r="I5" t="s">
        <v>48</v>
      </c>
      <c r="J5" s="1">
        <v>44933</v>
      </c>
      <c r="K5" s="1">
        <f>DATE(YEAR(subscriptions[[#This Row],[signup_date]]),MONTH(subscriptions[[#This Row],[signup_date]]),1)</f>
        <v>44927</v>
      </c>
      <c r="L5" t="s">
        <v>34</v>
      </c>
      <c r="M5" s="1"/>
      <c r="N5" s="1" t="str">
        <f>IF(subscriptions[[#This Row],[churn_date]]="","",DATE(YEAR(subscriptions[[#This Row],[churn_date]]),MONTH(subscriptions[[#This Row],[churn_date]]),1))</f>
        <v/>
      </c>
      <c r="O5" t="s">
        <v>38</v>
      </c>
      <c r="P5">
        <v>3</v>
      </c>
      <c r="Q5">
        <v>7</v>
      </c>
      <c r="R5">
        <v>58</v>
      </c>
      <c r="S5" t="str">
        <f t="shared" si="0"/>
        <v>High Usage</v>
      </c>
      <c r="T5" t="s">
        <v>34</v>
      </c>
    </row>
    <row r="6" spans="1:20" x14ac:dyDescent="0.3">
      <c r="A6" t="s">
        <v>49</v>
      </c>
      <c r="B6" t="s">
        <v>40</v>
      </c>
      <c r="C6" t="s">
        <v>36</v>
      </c>
      <c r="D6" t="s">
        <v>50</v>
      </c>
      <c r="E6" t="s">
        <v>29</v>
      </c>
      <c r="F6">
        <v>48</v>
      </c>
      <c r="G6">
        <v>198.43</v>
      </c>
      <c r="H6" t="s">
        <v>37</v>
      </c>
      <c r="I6" t="s">
        <v>31</v>
      </c>
      <c r="J6" s="1">
        <v>45923</v>
      </c>
      <c r="K6" s="1">
        <f>DATE(YEAR(subscriptions[[#This Row],[signup_date]]),MONTH(subscriptions[[#This Row],[signup_date]]),1)</f>
        <v>45901</v>
      </c>
      <c r="L6" t="s">
        <v>34</v>
      </c>
      <c r="M6" s="1"/>
      <c r="N6" s="1" t="str">
        <f>IF(subscriptions[[#This Row],[churn_date]]="","",DATE(YEAR(subscriptions[[#This Row],[churn_date]]),MONTH(subscriptions[[#This Row],[churn_date]]),1))</f>
        <v/>
      </c>
      <c r="O6" t="s">
        <v>38</v>
      </c>
      <c r="P6">
        <v>3</v>
      </c>
      <c r="Q6">
        <v>7</v>
      </c>
      <c r="R6">
        <v>59</v>
      </c>
      <c r="S6" t="str">
        <f t="shared" si="0"/>
        <v>High Usage</v>
      </c>
      <c r="T6" t="s">
        <v>34</v>
      </c>
    </row>
    <row r="7" spans="1:20" x14ac:dyDescent="0.3">
      <c r="A7" t="s">
        <v>51</v>
      </c>
      <c r="B7" t="s">
        <v>45</v>
      </c>
      <c r="C7" t="s">
        <v>36</v>
      </c>
      <c r="D7" t="s">
        <v>52</v>
      </c>
      <c r="E7" t="s">
        <v>53</v>
      </c>
      <c r="F7">
        <v>3</v>
      </c>
      <c r="G7">
        <v>219.9</v>
      </c>
      <c r="H7" t="s">
        <v>54</v>
      </c>
      <c r="I7" t="s">
        <v>31</v>
      </c>
      <c r="J7" s="1">
        <v>45197</v>
      </c>
      <c r="K7" s="1">
        <f>DATE(YEAR(subscriptions[[#This Row],[signup_date]]),MONTH(subscriptions[[#This Row],[signup_date]]),1)</f>
        <v>45170</v>
      </c>
      <c r="L7" t="s">
        <v>34</v>
      </c>
      <c r="M7" s="1"/>
      <c r="N7" s="1" t="str">
        <f>IF(subscriptions[[#This Row],[churn_date]]="","",DATE(YEAR(subscriptions[[#This Row],[churn_date]]),MONTH(subscriptions[[#This Row],[churn_date]]),1))</f>
        <v/>
      </c>
      <c r="O7" t="s">
        <v>38</v>
      </c>
      <c r="P7">
        <v>12</v>
      </c>
      <c r="Q7">
        <v>3</v>
      </c>
      <c r="R7">
        <v>48</v>
      </c>
      <c r="S7" t="str">
        <f t="shared" si="0"/>
        <v>Moderate Usage</v>
      </c>
      <c r="T7" t="s">
        <v>34</v>
      </c>
    </row>
    <row r="8" spans="1:20" x14ac:dyDescent="0.3">
      <c r="A8" t="s">
        <v>55</v>
      </c>
      <c r="B8" t="s">
        <v>40</v>
      </c>
      <c r="C8" t="s">
        <v>27</v>
      </c>
      <c r="D8" t="s">
        <v>41</v>
      </c>
      <c r="E8" t="s">
        <v>56</v>
      </c>
      <c r="F8">
        <v>121</v>
      </c>
      <c r="G8">
        <v>551</v>
      </c>
      <c r="H8" t="s">
        <v>43</v>
      </c>
      <c r="I8" t="s">
        <v>48</v>
      </c>
      <c r="J8" s="1">
        <v>45358</v>
      </c>
      <c r="K8" s="1">
        <f>DATE(YEAR(subscriptions[[#This Row],[signup_date]]),MONTH(subscriptions[[#This Row],[signup_date]]),1)</f>
        <v>45352</v>
      </c>
      <c r="L8" t="s">
        <v>32</v>
      </c>
      <c r="M8" s="1">
        <v>45755</v>
      </c>
      <c r="N8" s="1">
        <f>IF(subscriptions[[#This Row],[churn_date]]="","",DATE(YEAR(subscriptions[[#This Row],[churn_date]]),MONTH(subscriptions[[#This Row],[churn_date]]),1))</f>
        <v>45748</v>
      </c>
      <c r="O8" t="s">
        <v>57</v>
      </c>
      <c r="P8">
        <v>0</v>
      </c>
      <c r="Q8">
        <v>2</v>
      </c>
      <c r="R8">
        <v>14</v>
      </c>
      <c r="S8" t="str">
        <f t="shared" si="0"/>
        <v>Very Low Usage</v>
      </c>
      <c r="T8" t="s">
        <v>34</v>
      </c>
    </row>
    <row r="9" spans="1:20" x14ac:dyDescent="0.3">
      <c r="A9" t="s">
        <v>58</v>
      </c>
      <c r="B9" t="s">
        <v>40</v>
      </c>
      <c r="C9" t="s">
        <v>27</v>
      </c>
      <c r="D9" t="s">
        <v>52</v>
      </c>
      <c r="E9" t="s">
        <v>29</v>
      </c>
      <c r="F9">
        <v>48</v>
      </c>
      <c r="G9">
        <v>233.45</v>
      </c>
      <c r="H9" t="s">
        <v>54</v>
      </c>
      <c r="I9" t="s">
        <v>48</v>
      </c>
      <c r="J9" s="1">
        <v>45755</v>
      </c>
      <c r="K9" s="1">
        <f>DATE(YEAR(subscriptions[[#This Row],[signup_date]]),MONTH(subscriptions[[#This Row],[signup_date]]),1)</f>
        <v>45748</v>
      </c>
      <c r="L9" t="s">
        <v>32</v>
      </c>
      <c r="M9" s="1">
        <v>45816</v>
      </c>
      <c r="N9" s="1">
        <f>IF(subscriptions[[#This Row],[churn_date]]="","",DATE(YEAR(subscriptions[[#This Row],[churn_date]]),MONTH(subscriptions[[#This Row],[churn_date]]),1))</f>
        <v>45809</v>
      </c>
      <c r="O9" t="s">
        <v>33</v>
      </c>
      <c r="P9">
        <v>10</v>
      </c>
      <c r="Q9">
        <v>2</v>
      </c>
      <c r="R9">
        <v>28</v>
      </c>
      <c r="S9" t="str">
        <f t="shared" si="0"/>
        <v>Moderate Usage</v>
      </c>
      <c r="T9" t="s">
        <v>34</v>
      </c>
    </row>
    <row r="10" spans="1:20" x14ac:dyDescent="0.3">
      <c r="A10" t="s">
        <v>59</v>
      </c>
      <c r="B10" t="s">
        <v>40</v>
      </c>
      <c r="C10" t="s">
        <v>27</v>
      </c>
      <c r="D10" t="s">
        <v>60</v>
      </c>
      <c r="E10" t="s">
        <v>53</v>
      </c>
      <c r="F10">
        <v>3</v>
      </c>
      <c r="G10">
        <v>37.700000000000003</v>
      </c>
      <c r="H10" t="s">
        <v>43</v>
      </c>
      <c r="I10" t="s">
        <v>31</v>
      </c>
      <c r="J10" s="1">
        <v>44948</v>
      </c>
      <c r="K10" s="1">
        <f>DATE(YEAR(subscriptions[[#This Row],[signup_date]]),MONTH(subscriptions[[#This Row],[signup_date]]),1)</f>
        <v>44927</v>
      </c>
      <c r="L10" t="s">
        <v>32</v>
      </c>
      <c r="M10" s="1">
        <v>45037</v>
      </c>
      <c r="N10" s="1">
        <f>IF(subscriptions[[#This Row],[churn_date]]="","",DATE(YEAR(subscriptions[[#This Row],[churn_date]]),MONTH(subscriptions[[#This Row],[churn_date]]),1))</f>
        <v>45017</v>
      </c>
      <c r="O10" t="s">
        <v>61</v>
      </c>
      <c r="P10">
        <v>5</v>
      </c>
      <c r="Q10">
        <v>6</v>
      </c>
      <c r="R10">
        <v>15</v>
      </c>
      <c r="S10" t="str">
        <f t="shared" si="0"/>
        <v>Very Low Usage</v>
      </c>
      <c r="T10" t="s">
        <v>34</v>
      </c>
    </row>
    <row r="11" spans="1:20" x14ac:dyDescent="0.3">
      <c r="A11" t="s">
        <v>62</v>
      </c>
      <c r="B11" t="s">
        <v>45</v>
      </c>
      <c r="C11" t="s">
        <v>27</v>
      </c>
      <c r="D11" t="s">
        <v>63</v>
      </c>
      <c r="E11" t="s">
        <v>29</v>
      </c>
      <c r="F11">
        <v>80</v>
      </c>
      <c r="G11">
        <v>2557.15</v>
      </c>
      <c r="H11" t="s">
        <v>43</v>
      </c>
      <c r="I11" t="s">
        <v>31</v>
      </c>
      <c r="J11" s="1">
        <v>44739</v>
      </c>
      <c r="K11" s="1">
        <f>DATE(YEAR(subscriptions[[#This Row],[signup_date]]),MONTH(subscriptions[[#This Row],[signup_date]]),1)</f>
        <v>44713</v>
      </c>
      <c r="L11" t="s">
        <v>32</v>
      </c>
      <c r="M11" s="1">
        <v>45261</v>
      </c>
      <c r="N11" s="1">
        <f>IF(subscriptions[[#This Row],[churn_date]]="","",DATE(YEAR(subscriptions[[#This Row],[churn_date]]),MONTH(subscriptions[[#This Row],[churn_date]]),1))</f>
        <v>45261</v>
      </c>
      <c r="O11" t="s">
        <v>64</v>
      </c>
      <c r="P11">
        <v>3</v>
      </c>
      <c r="Q11">
        <v>4</v>
      </c>
      <c r="R11">
        <v>48</v>
      </c>
      <c r="S11" t="str">
        <f t="shared" si="0"/>
        <v>Moderate Usage</v>
      </c>
      <c r="T11" t="s">
        <v>34</v>
      </c>
    </row>
    <row r="12" spans="1:20" x14ac:dyDescent="0.3">
      <c r="A12" t="s">
        <v>65</v>
      </c>
      <c r="B12" t="s">
        <v>45</v>
      </c>
      <c r="C12" t="s">
        <v>36</v>
      </c>
      <c r="D12" t="s">
        <v>63</v>
      </c>
      <c r="E12" t="s">
        <v>56</v>
      </c>
      <c r="F12">
        <v>77</v>
      </c>
      <c r="G12">
        <v>2097.46</v>
      </c>
      <c r="H12" t="s">
        <v>30</v>
      </c>
      <c r="I12" t="s">
        <v>66</v>
      </c>
      <c r="J12" s="1">
        <v>44902</v>
      </c>
      <c r="K12" s="1">
        <f>DATE(YEAR(subscriptions[[#This Row],[signup_date]]),MONTH(subscriptions[[#This Row],[signup_date]]),1)</f>
        <v>44896</v>
      </c>
      <c r="L12" t="s">
        <v>32</v>
      </c>
      <c r="M12" s="1">
        <v>45091</v>
      </c>
      <c r="N12" s="1">
        <f>IF(subscriptions[[#This Row],[churn_date]]="","",DATE(YEAR(subscriptions[[#This Row],[churn_date]]),MONTH(subscriptions[[#This Row],[churn_date]]),1))</f>
        <v>45078</v>
      </c>
      <c r="O12" t="s">
        <v>67</v>
      </c>
      <c r="P12">
        <v>9</v>
      </c>
      <c r="Q12">
        <v>1</v>
      </c>
      <c r="R12">
        <v>37</v>
      </c>
      <c r="S12" t="str">
        <f t="shared" si="0"/>
        <v>Moderate Usage</v>
      </c>
      <c r="T12" t="s">
        <v>34</v>
      </c>
    </row>
    <row r="13" spans="1:20" x14ac:dyDescent="0.3">
      <c r="A13" t="s">
        <v>68</v>
      </c>
      <c r="B13" t="s">
        <v>45</v>
      </c>
      <c r="C13" t="s">
        <v>36</v>
      </c>
      <c r="D13" t="s">
        <v>52</v>
      </c>
      <c r="E13" t="s">
        <v>47</v>
      </c>
      <c r="F13">
        <v>30</v>
      </c>
      <c r="G13">
        <v>904.95</v>
      </c>
      <c r="H13" t="s">
        <v>54</v>
      </c>
      <c r="I13" t="s">
        <v>31</v>
      </c>
      <c r="J13" s="1">
        <v>45247</v>
      </c>
      <c r="K13" s="1">
        <f>DATE(YEAR(subscriptions[[#This Row],[signup_date]]),MONTH(subscriptions[[#This Row],[signup_date]]),1)</f>
        <v>45231</v>
      </c>
      <c r="L13" t="s">
        <v>34</v>
      </c>
      <c r="M13" s="1"/>
      <c r="N13" s="1" t="str">
        <f>IF(subscriptions[[#This Row],[churn_date]]="","",DATE(YEAR(subscriptions[[#This Row],[churn_date]]),MONTH(subscriptions[[#This Row],[churn_date]]),1))</f>
        <v/>
      </c>
      <c r="O13" t="s">
        <v>38</v>
      </c>
      <c r="P13">
        <v>4</v>
      </c>
      <c r="Q13">
        <v>1</v>
      </c>
      <c r="R13">
        <v>47</v>
      </c>
      <c r="S13" t="str">
        <f t="shared" si="0"/>
        <v>Moderate Usage</v>
      </c>
      <c r="T13" t="s">
        <v>32</v>
      </c>
    </row>
    <row r="14" spans="1:20" x14ac:dyDescent="0.3">
      <c r="A14" t="s">
        <v>69</v>
      </c>
      <c r="B14" t="s">
        <v>45</v>
      </c>
      <c r="C14" t="s">
        <v>27</v>
      </c>
      <c r="D14" t="s">
        <v>41</v>
      </c>
      <c r="E14" t="s">
        <v>53</v>
      </c>
      <c r="F14">
        <v>4</v>
      </c>
      <c r="G14">
        <v>288.55</v>
      </c>
      <c r="H14" t="s">
        <v>54</v>
      </c>
      <c r="I14" t="s">
        <v>48</v>
      </c>
      <c r="J14" s="1">
        <v>45475</v>
      </c>
      <c r="K14" s="1">
        <f>DATE(YEAR(subscriptions[[#This Row],[signup_date]]),MONTH(subscriptions[[#This Row],[signup_date]]),1)</f>
        <v>45474</v>
      </c>
      <c r="L14" t="s">
        <v>34</v>
      </c>
      <c r="M14" s="1"/>
      <c r="N14" s="1" t="str">
        <f>IF(subscriptions[[#This Row],[churn_date]]="","",DATE(YEAR(subscriptions[[#This Row],[churn_date]]),MONTH(subscriptions[[#This Row],[churn_date]]),1))</f>
        <v/>
      </c>
      <c r="O14" t="s">
        <v>38</v>
      </c>
      <c r="P14">
        <v>10</v>
      </c>
      <c r="Q14">
        <v>9</v>
      </c>
      <c r="R14">
        <v>84</v>
      </c>
      <c r="S14" t="str">
        <f t="shared" si="0"/>
        <v>Very High Usage</v>
      </c>
      <c r="T14" t="s">
        <v>32</v>
      </c>
    </row>
    <row r="15" spans="1:20" x14ac:dyDescent="0.3">
      <c r="A15" t="s">
        <v>70</v>
      </c>
      <c r="B15" t="s">
        <v>40</v>
      </c>
      <c r="C15" t="s">
        <v>27</v>
      </c>
      <c r="D15" t="s">
        <v>28</v>
      </c>
      <c r="E15" t="s">
        <v>29</v>
      </c>
      <c r="F15">
        <v>56</v>
      </c>
      <c r="G15">
        <v>268.25</v>
      </c>
      <c r="H15" t="s">
        <v>71</v>
      </c>
      <c r="I15" t="s">
        <v>48</v>
      </c>
      <c r="J15" s="1">
        <v>44710</v>
      </c>
      <c r="K15" s="1">
        <f>DATE(YEAR(subscriptions[[#This Row],[signup_date]]),MONTH(subscriptions[[#This Row],[signup_date]]),1)</f>
        <v>44682</v>
      </c>
      <c r="L15" t="s">
        <v>32</v>
      </c>
      <c r="M15" s="1">
        <v>44831</v>
      </c>
      <c r="N15" s="1">
        <f>IF(subscriptions[[#This Row],[churn_date]]="","",DATE(YEAR(subscriptions[[#This Row],[churn_date]]),MONTH(subscriptions[[#This Row],[churn_date]]),1))</f>
        <v>44805</v>
      </c>
      <c r="O15" t="s">
        <v>57</v>
      </c>
      <c r="P15">
        <v>1</v>
      </c>
      <c r="Q15">
        <v>2</v>
      </c>
      <c r="R15">
        <v>21</v>
      </c>
      <c r="S15" t="str">
        <f t="shared" si="0"/>
        <v>Moderate Usage</v>
      </c>
      <c r="T15" t="s">
        <v>34</v>
      </c>
    </row>
    <row r="16" spans="1:20" x14ac:dyDescent="0.3">
      <c r="A16" t="s">
        <v>72</v>
      </c>
      <c r="B16" t="s">
        <v>40</v>
      </c>
      <c r="C16" t="s">
        <v>27</v>
      </c>
      <c r="D16" t="s">
        <v>73</v>
      </c>
      <c r="E16" t="s">
        <v>53</v>
      </c>
      <c r="F16">
        <v>6</v>
      </c>
      <c r="G16">
        <v>50.75</v>
      </c>
      <c r="H16" t="s">
        <v>54</v>
      </c>
      <c r="I16" t="s">
        <v>31</v>
      </c>
      <c r="J16" s="1">
        <v>45308</v>
      </c>
      <c r="K16" s="1">
        <f>DATE(YEAR(subscriptions[[#This Row],[signup_date]]),MONTH(subscriptions[[#This Row],[signup_date]]),1)</f>
        <v>45292</v>
      </c>
      <c r="L16" t="s">
        <v>32</v>
      </c>
      <c r="M16" s="1">
        <v>45428</v>
      </c>
      <c r="N16" s="1">
        <f>IF(subscriptions[[#This Row],[churn_date]]="","",DATE(YEAR(subscriptions[[#This Row],[churn_date]]),MONTH(subscriptions[[#This Row],[churn_date]]),1))</f>
        <v>45413</v>
      </c>
      <c r="O16" t="s">
        <v>74</v>
      </c>
      <c r="P16">
        <v>7</v>
      </c>
      <c r="Q16">
        <v>3</v>
      </c>
      <c r="R16">
        <v>25</v>
      </c>
      <c r="S16" t="str">
        <f t="shared" si="0"/>
        <v>Moderate Usage</v>
      </c>
      <c r="T16" t="s">
        <v>34</v>
      </c>
    </row>
    <row r="17" spans="1:20" x14ac:dyDescent="0.3">
      <c r="A17" t="s">
        <v>75</v>
      </c>
      <c r="B17" t="s">
        <v>40</v>
      </c>
      <c r="C17" t="s">
        <v>27</v>
      </c>
      <c r="D17" t="s">
        <v>50</v>
      </c>
      <c r="E17" t="s">
        <v>56</v>
      </c>
      <c r="F17">
        <v>52</v>
      </c>
      <c r="G17">
        <v>250.85</v>
      </c>
      <c r="H17" t="s">
        <v>30</v>
      </c>
      <c r="I17" t="s">
        <v>31</v>
      </c>
      <c r="J17" s="1">
        <v>44713</v>
      </c>
      <c r="K17" s="1">
        <f>DATE(YEAR(subscriptions[[#This Row],[signup_date]]),MONTH(subscriptions[[#This Row],[signup_date]]),1)</f>
        <v>44713</v>
      </c>
      <c r="L17" t="s">
        <v>32</v>
      </c>
      <c r="M17" s="1">
        <v>44950</v>
      </c>
      <c r="N17" s="1">
        <f>IF(subscriptions[[#This Row],[churn_date]]="","",DATE(YEAR(subscriptions[[#This Row],[churn_date]]),MONTH(subscriptions[[#This Row],[churn_date]]),1))</f>
        <v>44927</v>
      </c>
      <c r="O17" t="s">
        <v>64</v>
      </c>
      <c r="P17">
        <v>11</v>
      </c>
      <c r="Q17">
        <v>4</v>
      </c>
      <c r="R17">
        <v>34</v>
      </c>
      <c r="S17" t="str">
        <f t="shared" si="0"/>
        <v>Moderate Usage</v>
      </c>
      <c r="T17" t="s">
        <v>34</v>
      </c>
    </row>
    <row r="18" spans="1:20" x14ac:dyDescent="0.3">
      <c r="A18" t="s">
        <v>76</v>
      </c>
      <c r="B18" t="s">
        <v>45</v>
      </c>
      <c r="C18" t="s">
        <v>27</v>
      </c>
      <c r="D18" t="s">
        <v>73</v>
      </c>
      <c r="E18" t="s">
        <v>47</v>
      </c>
      <c r="F18">
        <v>34</v>
      </c>
      <c r="G18">
        <v>1184.05</v>
      </c>
      <c r="H18" t="s">
        <v>71</v>
      </c>
      <c r="I18" t="s">
        <v>31</v>
      </c>
      <c r="J18" s="1">
        <v>45649</v>
      </c>
      <c r="K18" s="1">
        <f>DATE(YEAR(subscriptions[[#This Row],[signup_date]]),MONTH(subscriptions[[#This Row],[signup_date]]),1)</f>
        <v>45627</v>
      </c>
      <c r="L18" t="s">
        <v>32</v>
      </c>
      <c r="M18" s="1">
        <v>45657</v>
      </c>
      <c r="N18" s="1">
        <f>IF(subscriptions[[#This Row],[churn_date]]="","",DATE(YEAR(subscriptions[[#This Row],[churn_date]]),MONTH(subscriptions[[#This Row],[churn_date]]),1))</f>
        <v>45627</v>
      </c>
      <c r="O18" t="s">
        <v>74</v>
      </c>
      <c r="P18">
        <v>3</v>
      </c>
      <c r="Q18">
        <v>3</v>
      </c>
      <c r="R18">
        <v>49</v>
      </c>
      <c r="S18" t="str">
        <f t="shared" si="0"/>
        <v>Moderate Usage</v>
      </c>
      <c r="T18" t="s">
        <v>34</v>
      </c>
    </row>
    <row r="19" spans="1:20" x14ac:dyDescent="0.3">
      <c r="A19" t="s">
        <v>77</v>
      </c>
      <c r="B19" t="s">
        <v>40</v>
      </c>
      <c r="C19" t="s">
        <v>27</v>
      </c>
      <c r="D19" t="s">
        <v>60</v>
      </c>
      <c r="E19" t="s">
        <v>29</v>
      </c>
      <c r="F19">
        <v>64</v>
      </c>
      <c r="G19">
        <v>303.05</v>
      </c>
      <c r="H19" t="s">
        <v>54</v>
      </c>
      <c r="I19" t="s">
        <v>48</v>
      </c>
      <c r="J19" s="1">
        <v>45098</v>
      </c>
      <c r="K19" s="1">
        <f>DATE(YEAR(subscriptions[[#This Row],[signup_date]]),MONTH(subscriptions[[#This Row],[signup_date]]),1)</f>
        <v>45078</v>
      </c>
      <c r="L19" t="s">
        <v>32</v>
      </c>
      <c r="M19" s="1">
        <v>45143</v>
      </c>
      <c r="N19" s="1">
        <f>IF(subscriptions[[#This Row],[churn_date]]="","",DATE(YEAR(subscriptions[[#This Row],[churn_date]]),MONTH(subscriptions[[#This Row],[churn_date]]),1))</f>
        <v>45139</v>
      </c>
      <c r="O19" t="s">
        <v>67</v>
      </c>
      <c r="P19">
        <v>14</v>
      </c>
      <c r="Q19">
        <v>3</v>
      </c>
      <c r="R19">
        <v>25</v>
      </c>
      <c r="S19" t="str">
        <f t="shared" si="0"/>
        <v>Moderate Usage</v>
      </c>
      <c r="T19" t="s">
        <v>34</v>
      </c>
    </row>
    <row r="20" spans="1:20" x14ac:dyDescent="0.3">
      <c r="A20" t="s">
        <v>78</v>
      </c>
      <c r="B20" t="s">
        <v>26</v>
      </c>
      <c r="C20" t="s">
        <v>36</v>
      </c>
      <c r="D20" t="s">
        <v>79</v>
      </c>
      <c r="E20" t="s">
        <v>42</v>
      </c>
      <c r="F20">
        <v>67</v>
      </c>
      <c r="G20">
        <v>731.93</v>
      </c>
      <c r="H20" t="s">
        <v>43</v>
      </c>
      <c r="I20" t="s">
        <v>80</v>
      </c>
      <c r="J20" s="1">
        <v>45377</v>
      </c>
      <c r="K20" s="1">
        <f>DATE(YEAR(subscriptions[[#This Row],[signup_date]]),MONTH(subscriptions[[#This Row],[signup_date]]),1)</f>
        <v>45352</v>
      </c>
      <c r="L20" t="s">
        <v>32</v>
      </c>
      <c r="M20" s="1">
        <v>45770</v>
      </c>
      <c r="N20" s="1">
        <f>IF(subscriptions[[#This Row],[churn_date]]="","",DATE(YEAR(subscriptions[[#This Row],[churn_date]]),MONTH(subscriptions[[#This Row],[churn_date]]),1))</f>
        <v>45748</v>
      </c>
      <c r="O20" t="s">
        <v>67</v>
      </c>
      <c r="P20">
        <v>10</v>
      </c>
      <c r="Q20">
        <v>2</v>
      </c>
      <c r="R20">
        <v>10</v>
      </c>
      <c r="S20" t="str">
        <f t="shared" si="0"/>
        <v>Very Low Usage</v>
      </c>
      <c r="T20" t="s">
        <v>34</v>
      </c>
    </row>
    <row r="21" spans="1:20" x14ac:dyDescent="0.3">
      <c r="A21" t="s">
        <v>81</v>
      </c>
      <c r="B21" t="s">
        <v>82</v>
      </c>
      <c r="C21" t="s">
        <v>36</v>
      </c>
      <c r="D21" t="s">
        <v>73</v>
      </c>
      <c r="E21" t="s">
        <v>53</v>
      </c>
      <c r="F21">
        <v>7</v>
      </c>
      <c r="G21">
        <v>805.88</v>
      </c>
      <c r="H21" t="s">
        <v>30</v>
      </c>
      <c r="I21" t="s">
        <v>66</v>
      </c>
      <c r="J21" s="1">
        <v>45149</v>
      </c>
      <c r="K21" s="1">
        <f>DATE(YEAR(subscriptions[[#This Row],[signup_date]]),MONTH(subscriptions[[#This Row],[signup_date]]),1)</f>
        <v>45139</v>
      </c>
      <c r="L21" t="s">
        <v>34</v>
      </c>
      <c r="M21" s="1"/>
      <c r="N21" s="1" t="str">
        <f>IF(subscriptions[[#This Row],[churn_date]]="","",DATE(YEAR(subscriptions[[#This Row],[churn_date]]),MONTH(subscriptions[[#This Row],[churn_date]]),1))</f>
        <v/>
      </c>
      <c r="O21" t="s">
        <v>38</v>
      </c>
      <c r="P21">
        <v>8</v>
      </c>
      <c r="Q21">
        <v>4</v>
      </c>
      <c r="R21">
        <v>93</v>
      </c>
      <c r="S21" t="str">
        <f t="shared" si="0"/>
        <v>Very High Usage</v>
      </c>
      <c r="T21" t="s">
        <v>34</v>
      </c>
    </row>
    <row r="22" spans="1:20" x14ac:dyDescent="0.3">
      <c r="A22" t="s">
        <v>83</v>
      </c>
      <c r="B22" t="s">
        <v>26</v>
      </c>
      <c r="C22" t="s">
        <v>36</v>
      </c>
      <c r="D22" t="s">
        <v>28</v>
      </c>
      <c r="E22" t="s">
        <v>29</v>
      </c>
      <c r="F22">
        <v>66</v>
      </c>
      <c r="G22">
        <v>721.86</v>
      </c>
      <c r="H22" t="s">
        <v>43</v>
      </c>
      <c r="I22" t="s">
        <v>48</v>
      </c>
      <c r="J22" s="1">
        <v>45253</v>
      </c>
      <c r="K22" s="1">
        <f>DATE(YEAR(subscriptions[[#This Row],[signup_date]]),MONTH(subscriptions[[#This Row],[signup_date]]),1)</f>
        <v>45231</v>
      </c>
      <c r="L22" t="s">
        <v>32</v>
      </c>
      <c r="M22" s="1">
        <v>45430</v>
      </c>
      <c r="N22" s="1">
        <f>IF(subscriptions[[#This Row],[churn_date]]="","",DATE(YEAR(subscriptions[[#This Row],[churn_date]]),MONTH(subscriptions[[#This Row],[churn_date]]),1))</f>
        <v>45413</v>
      </c>
      <c r="O22" t="s">
        <v>33</v>
      </c>
      <c r="P22">
        <v>7</v>
      </c>
      <c r="Q22">
        <v>2</v>
      </c>
      <c r="R22">
        <v>19</v>
      </c>
      <c r="S22" t="str">
        <f t="shared" si="0"/>
        <v>Very Low Usage</v>
      </c>
      <c r="T22" t="s">
        <v>34</v>
      </c>
    </row>
    <row r="23" spans="1:20" x14ac:dyDescent="0.3">
      <c r="A23" t="s">
        <v>84</v>
      </c>
      <c r="B23" t="s">
        <v>45</v>
      </c>
      <c r="C23" t="s">
        <v>36</v>
      </c>
      <c r="D23" t="s">
        <v>73</v>
      </c>
      <c r="E23" t="s">
        <v>53</v>
      </c>
      <c r="F23">
        <v>6</v>
      </c>
      <c r="G23">
        <v>296.01</v>
      </c>
      <c r="H23" t="s">
        <v>54</v>
      </c>
      <c r="I23" t="s">
        <v>48</v>
      </c>
      <c r="J23" s="1">
        <v>44744</v>
      </c>
      <c r="K23" s="1">
        <f>DATE(YEAR(subscriptions[[#This Row],[signup_date]]),MONTH(subscriptions[[#This Row],[signup_date]]),1)</f>
        <v>44743</v>
      </c>
      <c r="L23" t="s">
        <v>34</v>
      </c>
      <c r="M23" s="1"/>
      <c r="N23" s="1" t="str">
        <f>IF(subscriptions[[#This Row],[churn_date]]="","",DATE(YEAR(subscriptions[[#This Row],[churn_date]]),MONTH(subscriptions[[#This Row],[churn_date]]),1))</f>
        <v/>
      </c>
      <c r="O23" t="s">
        <v>38</v>
      </c>
      <c r="P23">
        <v>5</v>
      </c>
      <c r="Q23">
        <v>7</v>
      </c>
      <c r="R23">
        <v>40</v>
      </c>
      <c r="S23" t="str">
        <f t="shared" si="0"/>
        <v>Moderate Usage</v>
      </c>
      <c r="T23" t="s">
        <v>34</v>
      </c>
    </row>
    <row r="24" spans="1:20" x14ac:dyDescent="0.3">
      <c r="A24" t="s">
        <v>85</v>
      </c>
      <c r="B24" t="s">
        <v>40</v>
      </c>
      <c r="C24" t="s">
        <v>27</v>
      </c>
      <c r="D24" t="s">
        <v>63</v>
      </c>
      <c r="E24" t="s">
        <v>47</v>
      </c>
      <c r="F24">
        <v>25</v>
      </c>
      <c r="G24">
        <v>133.4</v>
      </c>
      <c r="H24" t="s">
        <v>71</v>
      </c>
      <c r="I24" t="s">
        <v>48</v>
      </c>
      <c r="J24" s="1">
        <v>45339</v>
      </c>
      <c r="K24" s="1">
        <f>DATE(YEAR(subscriptions[[#This Row],[signup_date]]),MONTH(subscriptions[[#This Row],[signup_date]]),1)</f>
        <v>45323</v>
      </c>
      <c r="L24" t="s">
        <v>32</v>
      </c>
      <c r="M24" s="1">
        <v>45405</v>
      </c>
      <c r="N24" s="1">
        <f>IF(subscriptions[[#This Row],[churn_date]]="","",DATE(YEAR(subscriptions[[#This Row],[churn_date]]),MONTH(subscriptions[[#This Row],[churn_date]]),1))</f>
        <v>45383</v>
      </c>
      <c r="O24" t="s">
        <v>67</v>
      </c>
      <c r="P24">
        <v>11</v>
      </c>
      <c r="Q24">
        <v>1</v>
      </c>
      <c r="R24">
        <v>16</v>
      </c>
      <c r="S24" t="str">
        <f t="shared" si="0"/>
        <v>Very Low Usage</v>
      </c>
      <c r="T24" t="s">
        <v>34</v>
      </c>
    </row>
    <row r="25" spans="1:20" x14ac:dyDescent="0.3">
      <c r="A25" t="s">
        <v>86</v>
      </c>
      <c r="B25" t="s">
        <v>82</v>
      </c>
      <c r="C25" t="s">
        <v>36</v>
      </c>
      <c r="D25" t="s">
        <v>50</v>
      </c>
      <c r="E25" t="s">
        <v>47</v>
      </c>
      <c r="F25">
        <v>14</v>
      </c>
      <c r="G25">
        <v>1251.24</v>
      </c>
      <c r="H25" t="s">
        <v>54</v>
      </c>
      <c r="I25" t="s">
        <v>48</v>
      </c>
      <c r="J25" s="1">
        <v>45799</v>
      </c>
      <c r="K25" s="1">
        <f>DATE(YEAR(subscriptions[[#This Row],[signup_date]]),MONTH(subscriptions[[#This Row],[signup_date]]),1)</f>
        <v>45778</v>
      </c>
      <c r="L25" t="s">
        <v>34</v>
      </c>
      <c r="M25" s="1"/>
      <c r="N25" s="1" t="str">
        <f>IF(subscriptions[[#This Row],[churn_date]]="","",DATE(YEAR(subscriptions[[#This Row],[churn_date]]),MONTH(subscriptions[[#This Row],[churn_date]]),1))</f>
        <v/>
      </c>
      <c r="O25" t="s">
        <v>38</v>
      </c>
      <c r="P25">
        <v>11</v>
      </c>
      <c r="Q25">
        <v>1</v>
      </c>
      <c r="R25">
        <v>85</v>
      </c>
      <c r="S25" t="str">
        <f t="shared" si="0"/>
        <v>Very High Usage</v>
      </c>
      <c r="T25" t="s">
        <v>34</v>
      </c>
    </row>
    <row r="26" spans="1:20" x14ac:dyDescent="0.3">
      <c r="A26" t="s">
        <v>87</v>
      </c>
      <c r="B26" t="s">
        <v>40</v>
      </c>
      <c r="C26" t="s">
        <v>36</v>
      </c>
      <c r="D26" t="s">
        <v>28</v>
      </c>
      <c r="E26" t="s">
        <v>47</v>
      </c>
      <c r="F26">
        <v>7</v>
      </c>
      <c r="G26">
        <v>46.83</v>
      </c>
      <c r="H26" t="s">
        <v>54</v>
      </c>
      <c r="I26" t="s">
        <v>31</v>
      </c>
      <c r="J26" s="1">
        <v>45451</v>
      </c>
      <c r="K26" s="1">
        <f>DATE(YEAR(subscriptions[[#This Row],[signup_date]]),MONTH(subscriptions[[#This Row],[signup_date]]),1)</f>
        <v>45444</v>
      </c>
      <c r="L26" t="s">
        <v>34</v>
      </c>
      <c r="M26" s="1"/>
      <c r="N26" s="1" t="str">
        <f>IF(subscriptions[[#This Row],[churn_date]]="","",DATE(YEAR(subscriptions[[#This Row],[churn_date]]),MONTH(subscriptions[[#This Row],[churn_date]]),1))</f>
        <v/>
      </c>
      <c r="O26" t="s">
        <v>38</v>
      </c>
      <c r="P26">
        <v>1</v>
      </c>
      <c r="Q26">
        <v>1</v>
      </c>
      <c r="R26">
        <v>42</v>
      </c>
      <c r="S26" t="str">
        <f t="shared" si="0"/>
        <v>Moderate Usage</v>
      </c>
      <c r="T26" t="s">
        <v>34</v>
      </c>
    </row>
    <row r="27" spans="1:20" x14ac:dyDescent="0.3">
      <c r="A27" t="s">
        <v>88</v>
      </c>
      <c r="B27" t="s">
        <v>82</v>
      </c>
      <c r="C27" t="s">
        <v>36</v>
      </c>
      <c r="D27" t="s">
        <v>60</v>
      </c>
      <c r="E27" t="s">
        <v>53</v>
      </c>
      <c r="F27">
        <v>4</v>
      </c>
      <c r="G27">
        <v>615.02</v>
      </c>
      <c r="H27" t="s">
        <v>54</v>
      </c>
      <c r="I27" t="s">
        <v>48</v>
      </c>
      <c r="J27" s="1">
        <v>45863</v>
      </c>
      <c r="K27" s="1">
        <f>DATE(YEAR(subscriptions[[#This Row],[signup_date]]),MONTH(subscriptions[[#This Row],[signup_date]]),1)</f>
        <v>45839</v>
      </c>
      <c r="L27" t="s">
        <v>34</v>
      </c>
      <c r="M27" s="1"/>
      <c r="N27" s="1" t="str">
        <f>IF(subscriptions[[#This Row],[churn_date]]="","",DATE(YEAR(subscriptions[[#This Row],[churn_date]]),MONTH(subscriptions[[#This Row],[churn_date]]),1))</f>
        <v/>
      </c>
      <c r="O27" t="s">
        <v>38</v>
      </c>
      <c r="P27">
        <v>2</v>
      </c>
      <c r="Q27">
        <v>9</v>
      </c>
      <c r="R27">
        <v>73</v>
      </c>
      <c r="S27" t="str">
        <f t="shared" si="0"/>
        <v>High Usage</v>
      </c>
      <c r="T27" t="s">
        <v>34</v>
      </c>
    </row>
    <row r="28" spans="1:20" x14ac:dyDescent="0.3">
      <c r="A28" t="s">
        <v>89</v>
      </c>
      <c r="B28" t="s">
        <v>40</v>
      </c>
      <c r="C28" t="s">
        <v>27</v>
      </c>
      <c r="D28" t="s">
        <v>90</v>
      </c>
      <c r="E28" t="s">
        <v>53</v>
      </c>
      <c r="F28">
        <v>1</v>
      </c>
      <c r="G28">
        <v>29</v>
      </c>
      <c r="H28" t="s">
        <v>43</v>
      </c>
      <c r="I28" t="s">
        <v>66</v>
      </c>
      <c r="J28" s="1">
        <v>45179</v>
      </c>
      <c r="K28" s="1">
        <f>DATE(YEAR(subscriptions[[#This Row],[signup_date]]),MONTH(subscriptions[[#This Row],[signup_date]]),1)</f>
        <v>45170</v>
      </c>
      <c r="L28" t="s">
        <v>32</v>
      </c>
      <c r="M28" s="1">
        <v>45771</v>
      </c>
      <c r="N28" s="1">
        <f>IF(subscriptions[[#This Row],[churn_date]]="","",DATE(YEAR(subscriptions[[#This Row],[churn_date]]),MONTH(subscriptions[[#This Row],[churn_date]]),1))</f>
        <v>45748</v>
      </c>
      <c r="O28" t="s">
        <v>57</v>
      </c>
      <c r="P28">
        <v>8</v>
      </c>
      <c r="Q28">
        <v>3</v>
      </c>
      <c r="R28">
        <v>10</v>
      </c>
      <c r="S28" t="str">
        <f t="shared" si="0"/>
        <v>Very Low Usage</v>
      </c>
      <c r="T28" t="s">
        <v>34</v>
      </c>
    </row>
    <row r="29" spans="1:20" x14ac:dyDescent="0.3">
      <c r="A29" t="s">
        <v>91</v>
      </c>
      <c r="B29" t="s">
        <v>26</v>
      </c>
      <c r="C29" t="s">
        <v>36</v>
      </c>
      <c r="D29" t="s">
        <v>52</v>
      </c>
      <c r="E29" t="s">
        <v>29</v>
      </c>
      <c r="F29">
        <v>35</v>
      </c>
      <c r="G29">
        <v>409.62</v>
      </c>
      <c r="H29" t="s">
        <v>30</v>
      </c>
      <c r="I29" t="s">
        <v>80</v>
      </c>
      <c r="J29" s="1">
        <v>46020</v>
      </c>
      <c r="K29" s="1">
        <f>DATE(YEAR(subscriptions[[#This Row],[signup_date]]),MONTH(subscriptions[[#This Row],[signup_date]]),1)</f>
        <v>45992</v>
      </c>
      <c r="L29" t="s">
        <v>34</v>
      </c>
      <c r="M29" s="1"/>
      <c r="N29" s="1" t="str">
        <f>IF(subscriptions[[#This Row],[churn_date]]="","",DATE(YEAR(subscriptions[[#This Row],[churn_date]]),MONTH(subscriptions[[#This Row],[churn_date]]),1))</f>
        <v/>
      </c>
      <c r="O29" t="s">
        <v>38</v>
      </c>
      <c r="P29">
        <v>8</v>
      </c>
      <c r="Q29">
        <v>4</v>
      </c>
      <c r="R29">
        <v>53</v>
      </c>
      <c r="S29" t="str">
        <f t="shared" si="0"/>
        <v>High Usage</v>
      </c>
      <c r="T29" t="s">
        <v>34</v>
      </c>
    </row>
    <row r="30" spans="1:20" x14ac:dyDescent="0.3">
      <c r="A30" t="s">
        <v>92</v>
      </c>
      <c r="B30" t="s">
        <v>40</v>
      </c>
      <c r="C30" t="s">
        <v>27</v>
      </c>
      <c r="D30" t="s">
        <v>46</v>
      </c>
      <c r="E30" t="s">
        <v>47</v>
      </c>
      <c r="F30">
        <v>22</v>
      </c>
      <c r="G30">
        <v>120.35</v>
      </c>
      <c r="H30" t="s">
        <v>30</v>
      </c>
      <c r="I30" t="s">
        <v>31</v>
      </c>
      <c r="J30" s="1">
        <v>44901</v>
      </c>
      <c r="K30" s="1">
        <f>DATE(YEAR(subscriptions[[#This Row],[signup_date]]),MONTH(subscriptions[[#This Row],[signup_date]]),1)</f>
        <v>44896</v>
      </c>
      <c r="L30" t="s">
        <v>32</v>
      </c>
      <c r="M30" s="1">
        <v>45153</v>
      </c>
      <c r="N30" s="1">
        <f>IF(subscriptions[[#This Row],[churn_date]]="","",DATE(YEAR(subscriptions[[#This Row],[churn_date]]),MONTH(subscriptions[[#This Row],[churn_date]]),1))</f>
        <v>45139</v>
      </c>
      <c r="O30" t="s">
        <v>93</v>
      </c>
      <c r="P30">
        <v>4</v>
      </c>
      <c r="Q30">
        <v>2</v>
      </c>
      <c r="R30">
        <v>17</v>
      </c>
      <c r="S30" t="str">
        <f t="shared" si="0"/>
        <v>Very Low Usage</v>
      </c>
      <c r="T30" t="s">
        <v>34</v>
      </c>
    </row>
    <row r="31" spans="1:20" x14ac:dyDescent="0.3">
      <c r="A31" t="s">
        <v>94</v>
      </c>
      <c r="B31" t="s">
        <v>45</v>
      </c>
      <c r="C31" t="s">
        <v>36</v>
      </c>
      <c r="D31" t="s">
        <v>46</v>
      </c>
      <c r="E31" t="s">
        <v>42</v>
      </c>
      <c r="F31">
        <v>230</v>
      </c>
      <c r="G31">
        <v>5979.45</v>
      </c>
      <c r="H31" t="s">
        <v>43</v>
      </c>
      <c r="I31" t="s">
        <v>48</v>
      </c>
      <c r="J31" s="1">
        <v>45234</v>
      </c>
      <c r="K31" s="1">
        <f>DATE(YEAR(subscriptions[[#This Row],[signup_date]]),MONTH(subscriptions[[#This Row],[signup_date]]),1)</f>
        <v>45231</v>
      </c>
      <c r="L31" t="s">
        <v>34</v>
      </c>
      <c r="M31" s="1"/>
      <c r="N31" s="1" t="str">
        <f>IF(subscriptions[[#This Row],[churn_date]]="","",DATE(YEAR(subscriptions[[#This Row],[churn_date]]),MONTH(subscriptions[[#This Row],[churn_date]]),1))</f>
        <v/>
      </c>
      <c r="O31" t="s">
        <v>38</v>
      </c>
      <c r="P31">
        <v>9</v>
      </c>
      <c r="Q31">
        <v>3</v>
      </c>
      <c r="R31">
        <v>76</v>
      </c>
      <c r="S31" t="str">
        <f t="shared" si="0"/>
        <v>High Usage</v>
      </c>
      <c r="T31" t="s">
        <v>34</v>
      </c>
    </row>
    <row r="32" spans="1:20" x14ac:dyDescent="0.3">
      <c r="A32" t="s">
        <v>95</v>
      </c>
      <c r="B32" t="s">
        <v>45</v>
      </c>
      <c r="C32" t="s">
        <v>36</v>
      </c>
      <c r="D32" t="s">
        <v>41</v>
      </c>
      <c r="E32" t="s">
        <v>42</v>
      </c>
      <c r="F32">
        <v>174</v>
      </c>
      <c r="G32">
        <v>4558.59</v>
      </c>
      <c r="H32" t="s">
        <v>37</v>
      </c>
      <c r="I32" t="s">
        <v>48</v>
      </c>
      <c r="J32" s="1">
        <v>45493</v>
      </c>
      <c r="K32" s="1">
        <f>DATE(YEAR(subscriptions[[#This Row],[signup_date]]),MONTH(subscriptions[[#This Row],[signup_date]]),1)</f>
        <v>45474</v>
      </c>
      <c r="L32" t="s">
        <v>34</v>
      </c>
      <c r="M32" s="1"/>
      <c r="N32" s="1" t="str">
        <f>IF(subscriptions[[#This Row],[churn_date]]="","",DATE(YEAR(subscriptions[[#This Row],[churn_date]]),MONTH(subscriptions[[#This Row],[churn_date]]),1))</f>
        <v/>
      </c>
      <c r="O32" t="s">
        <v>38</v>
      </c>
      <c r="P32">
        <v>8</v>
      </c>
      <c r="Q32">
        <v>7</v>
      </c>
      <c r="R32">
        <v>84</v>
      </c>
      <c r="S32" t="str">
        <f t="shared" si="0"/>
        <v>Very High Usage</v>
      </c>
      <c r="T32" t="s">
        <v>34</v>
      </c>
    </row>
    <row r="33" spans="1:20" x14ac:dyDescent="0.3">
      <c r="A33" t="s">
        <v>96</v>
      </c>
      <c r="B33" t="s">
        <v>82</v>
      </c>
      <c r="C33" t="s">
        <v>36</v>
      </c>
      <c r="D33" t="s">
        <v>52</v>
      </c>
      <c r="E33" t="s">
        <v>53</v>
      </c>
      <c r="F33">
        <v>5</v>
      </c>
      <c r="G33">
        <v>678.64</v>
      </c>
      <c r="H33" t="s">
        <v>54</v>
      </c>
      <c r="I33" t="s">
        <v>31</v>
      </c>
      <c r="J33" s="1">
        <v>45013</v>
      </c>
      <c r="K33" s="1">
        <f>DATE(YEAR(subscriptions[[#This Row],[signup_date]]),MONTH(subscriptions[[#This Row],[signup_date]]),1)</f>
        <v>44986</v>
      </c>
      <c r="L33" t="s">
        <v>34</v>
      </c>
      <c r="M33" s="1"/>
      <c r="N33" s="1" t="str">
        <f>IF(subscriptions[[#This Row],[churn_date]]="","",DATE(YEAR(subscriptions[[#This Row],[churn_date]]),MONTH(subscriptions[[#This Row],[churn_date]]),1))</f>
        <v/>
      </c>
      <c r="O33" t="s">
        <v>38</v>
      </c>
      <c r="P33">
        <v>7</v>
      </c>
      <c r="Q33">
        <v>8</v>
      </c>
      <c r="R33">
        <v>16</v>
      </c>
      <c r="S33" t="str">
        <f t="shared" si="0"/>
        <v>Very Low Usage</v>
      </c>
      <c r="T33" t="s">
        <v>34</v>
      </c>
    </row>
    <row r="34" spans="1:20" x14ac:dyDescent="0.3">
      <c r="A34" t="s">
        <v>97</v>
      </c>
      <c r="B34" t="s">
        <v>40</v>
      </c>
      <c r="C34" t="s">
        <v>36</v>
      </c>
      <c r="D34" t="s">
        <v>90</v>
      </c>
      <c r="E34" t="s">
        <v>53</v>
      </c>
      <c r="F34">
        <v>6</v>
      </c>
      <c r="G34">
        <v>43.14</v>
      </c>
      <c r="H34" t="s">
        <v>30</v>
      </c>
      <c r="I34" t="s">
        <v>80</v>
      </c>
      <c r="J34" s="1">
        <v>45431</v>
      </c>
      <c r="K34" s="1">
        <f>DATE(YEAR(subscriptions[[#This Row],[signup_date]]),MONTH(subscriptions[[#This Row],[signup_date]]),1)</f>
        <v>45413</v>
      </c>
      <c r="L34" t="s">
        <v>32</v>
      </c>
      <c r="M34" s="1">
        <v>45502</v>
      </c>
      <c r="N34" s="1">
        <f>IF(subscriptions[[#This Row],[churn_date]]="","",DATE(YEAR(subscriptions[[#This Row],[churn_date]]),MONTH(subscriptions[[#This Row],[churn_date]]),1))</f>
        <v>45474</v>
      </c>
      <c r="O34" t="s">
        <v>74</v>
      </c>
      <c r="P34">
        <v>11</v>
      </c>
      <c r="Q34">
        <v>3</v>
      </c>
      <c r="R34">
        <v>30</v>
      </c>
      <c r="S34" t="str">
        <f t="shared" si="0"/>
        <v>Moderate Usage</v>
      </c>
      <c r="T34" t="s">
        <v>34</v>
      </c>
    </row>
    <row r="35" spans="1:20" x14ac:dyDescent="0.3">
      <c r="A35" t="s">
        <v>98</v>
      </c>
      <c r="B35" t="s">
        <v>82</v>
      </c>
      <c r="C35" t="s">
        <v>36</v>
      </c>
      <c r="D35" t="s">
        <v>73</v>
      </c>
      <c r="E35" t="s">
        <v>47</v>
      </c>
      <c r="F35">
        <v>35</v>
      </c>
      <c r="G35">
        <v>2587.3200000000002</v>
      </c>
      <c r="H35" t="s">
        <v>54</v>
      </c>
      <c r="I35" t="s">
        <v>31</v>
      </c>
      <c r="J35" s="1">
        <v>45194</v>
      </c>
      <c r="K35" s="1">
        <f>DATE(YEAR(subscriptions[[#This Row],[signup_date]]),MONTH(subscriptions[[#This Row],[signup_date]]),1)</f>
        <v>45170</v>
      </c>
      <c r="L35" t="s">
        <v>34</v>
      </c>
      <c r="M35" s="1"/>
      <c r="N35" s="1" t="str">
        <f>IF(subscriptions[[#This Row],[churn_date]]="","",DATE(YEAR(subscriptions[[#This Row],[churn_date]]),MONTH(subscriptions[[#This Row],[churn_date]]),1))</f>
        <v/>
      </c>
      <c r="O35" t="s">
        <v>38</v>
      </c>
      <c r="P35">
        <v>5</v>
      </c>
      <c r="Q35">
        <v>8</v>
      </c>
      <c r="R35">
        <v>33</v>
      </c>
      <c r="S35" t="str">
        <f t="shared" si="0"/>
        <v>Moderate Usage</v>
      </c>
      <c r="T35" t="s">
        <v>32</v>
      </c>
    </row>
    <row r="36" spans="1:20" x14ac:dyDescent="0.3">
      <c r="A36" t="s">
        <v>99</v>
      </c>
      <c r="B36" t="s">
        <v>40</v>
      </c>
      <c r="C36" t="s">
        <v>27</v>
      </c>
      <c r="D36" t="s">
        <v>50</v>
      </c>
      <c r="E36" t="s">
        <v>29</v>
      </c>
      <c r="F36">
        <v>70</v>
      </c>
      <c r="G36">
        <v>329.15</v>
      </c>
      <c r="H36" t="s">
        <v>30</v>
      </c>
      <c r="I36" t="s">
        <v>80</v>
      </c>
      <c r="J36" s="1">
        <v>44689</v>
      </c>
      <c r="K36" s="1">
        <f>DATE(YEAR(subscriptions[[#This Row],[signup_date]]),MONTH(subscriptions[[#This Row],[signup_date]]),1)</f>
        <v>44682</v>
      </c>
      <c r="L36" t="s">
        <v>32</v>
      </c>
      <c r="M36" s="1">
        <v>44766</v>
      </c>
      <c r="N36" s="1">
        <f>IF(subscriptions[[#This Row],[churn_date]]="","",DATE(YEAR(subscriptions[[#This Row],[churn_date]]),MONTH(subscriptions[[#This Row],[churn_date]]),1))</f>
        <v>44743</v>
      </c>
      <c r="O36" t="s">
        <v>61</v>
      </c>
      <c r="P36">
        <v>0</v>
      </c>
      <c r="Q36">
        <v>6</v>
      </c>
      <c r="R36">
        <v>30</v>
      </c>
      <c r="S36" t="str">
        <f t="shared" si="0"/>
        <v>Moderate Usage</v>
      </c>
      <c r="T36" t="s">
        <v>34</v>
      </c>
    </row>
    <row r="37" spans="1:20" x14ac:dyDescent="0.3">
      <c r="A37" t="s">
        <v>100</v>
      </c>
      <c r="B37" t="s">
        <v>26</v>
      </c>
      <c r="C37" t="s">
        <v>27</v>
      </c>
      <c r="D37" t="s">
        <v>50</v>
      </c>
      <c r="E37" t="s">
        <v>53</v>
      </c>
      <c r="F37">
        <v>7</v>
      </c>
      <c r="G37">
        <v>150.1</v>
      </c>
      <c r="H37" t="s">
        <v>54</v>
      </c>
      <c r="I37" t="s">
        <v>80</v>
      </c>
      <c r="J37" s="1">
        <v>45038</v>
      </c>
      <c r="K37" s="1">
        <f>DATE(YEAR(subscriptions[[#This Row],[signup_date]]),MONTH(subscriptions[[#This Row],[signup_date]]),1)</f>
        <v>45017</v>
      </c>
      <c r="L37" t="s">
        <v>32</v>
      </c>
      <c r="M37" s="1">
        <v>45284</v>
      </c>
      <c r="N37" s="1">
        <f>IF(subscriptions[[#This Row],[churn_date]]="","",DATE(YEAR(subscriptions[[#This Row],[churn_date]]),MONTH(subscriptions[[#This Row],[churn_date]]),1))</f>
        <v>45261</v>
      </c>
      <c r="O37" t="s">
        <v>67</v>
      </c>
      <c r="P37">
        <v>10</v>
      </c>
      <c r="Q37">
        <v>6</v>
      </c>
      <c r="R37">
        <v>16</v>
      </c>
      <c r="S37" t="str">
        <f t="shared" si="0"/>
        <v>Very Low Usage</v>
      </c>
      <c r="T37" t="s">
        <v>34</v>
      </c>
    </row>
    <row r="38" spans="1:20" x14ac:dyDescent="0.3">
      <c r="A38" t="s">
        <v>101</v>
      </c>
      <c r="B38" t="s">
        <v>26</v>
      </c>
      <c r="C38" t="s">
        <v>27</v>
      </c>
      <c r="D38" t="s">
        <v>52</v>
      </c>
      <c r="E38" t="s">
        <v>53</v>
      </c>
      <c r="F38">
        <v>2</v>
      </c>
      <c r="G38">
        <v>90.85</v>
      </c>
      <c r="H38" t="s">
        <v>37</v>
      </c>
      <c r="I38" t="s">
        <v>31</v>
      </c>
      <c r="J38" s="1">
        <v>45457</v>
      </c>
      <c r="K38" s="1">
        <f>DATE(YEAR(subscriptions[[#This Row],[signup_date]]),MONTH(subscriptions[[#This Row],[signup_date]]),1)</f>
        <v>45444</v>
      </c>
      <c r="L38" t="s">
        <v>32</v>
      </c>
      <c r="M38" s="1">
        <v>45604</v>
      </c>
      <c r="N38" s="1">
        <f>IF(subscriptions[[#This Row],[churn_date]]="","",DATE(YEAR(subscriptions[[#This Row],[churn_date]]),MONTH(subscriptions[[#This Row],[churn_date]]),1))</f>
        <v>45597</v>
      </c>
      <c r="O38" t="s">
        <v>74</v>
      </c>
      <c r="P38">
        <v>11</v>
      </c>
      <c r="Q38">
        <v>2</v>
      </c>
      <c r="R38">
        <v>34</v>
      </c>
      <c r="S38" t="str">
        <f t="shared" si="0"/>
        <v>Moderate Usage</v>
      </c>
      <c r="T38" t="s">
        <v>34</v>
      </c>
    </row>
    <row r="39" spans="1:20" x14ac:dyDescent="0.3">
      <c r="A39" t="s">
        <v>102</v>
      </c>
      <c r="B39" t="s">
        <v>26</v>
      </c>
      <c r="C39" t="s">
        <v>27</v>
      </c>
      <c r="D39" t="s">
        <v>46</v>
      </c>
      <c r="E39" t="s">
        <v>53</v>
      </c>
      <c r="F39">
        <v>5</v>
      </c>
      <c r="G39">
        <v>126.4</v>
      </c>
      <c r="H39" t="s">
        <v>30</v>
      </c>
      <c r="I39" t="s">
        <v>48</v>
      </c>
      <c r="J39" s="1">
        <v>44718</v>
      </c>
      <c r="K39" s="1">
        <f>DATE(YEAR(subscriptions[[#This Row],[signup_date]]),MONTH(subscriptions[[#This Row],[signup_date]]),1)</f>
        <v>44713</v>
      </c>
      <c r="L39" t="s">
        <v>32</v>
      </c>
      <c r="M39" s="1">
        <v>44784</v>
      </c>
      <c r="N39" s="1">
        <f>IF(subscriptions[[#This Row],[churn_date]]="","",DATE(YEAR(subscriptions[[#This Row],[churn_date]]),MONTH(subscriptions[[#This Row],[churn_date]]),1))</f>
        <v>44774</v>
      </c>
      <c r="O39" t="s">
        <v>64</v>
      </c>
      <c r="P39">
        <v>6</v>
      </c>
      <c r="Q39">
        <v>1</v>
      </c>
      <c r="R39">
        <v>30</v>
      </c>
      <c r="S39" t="str">
        <f t="shared" si="0"/>
        <v>Moderate Usage</v>
      </c>
      <c r="T39" t="s">
        <v>34</v>
      </c>
    </row>
    <row r="40" spans="1:20" x14ac:dyDescent="0.3">
      <c r="A40" t="s">
        <v>103</v>
      </c>
      <c r="B40" t="s">
        <v>45</v>
      </c>
      <c r="C40" t="s">
        <v>36</v>
      </c>
      <c r="D40" t="s">
        <v>28</v>
      </c>
      <c r="E40" t="s">
        <v>29</v>
      </c>
      <c r="F40">
        <v>30</v>
      </c>
      <c r="G40">
        <v>904.95</v>
      </c>
      <c r="H40" t="s">
        <v>30</v>
      </c>
      <c r="I40" t="s">
        <v>66</v>
      </c>
      <c r="J40" s="1">
        <v>45414</v>
      </c>
      <c r="K40" s="1">
        <f>DATE(YEAR(subscriptions[[#This Row],[signup_date]]),MONTH(subscriptions[[#This Row],[signup_date]]),1)</f>
        <v>45413</v>
      </c>
      <c r="L40" t="s">
        <v>34</v>
      </c>
      <c r="M40" s="1"/>
      <c r="N40" s="1" t="str">
        <f>IF(subscriptions[[#This Row],[churn_date]]="","",DATE(YEAR(subscriptions[[#This Row],[churn_date]]),MONTH(subscriptions[[#This Row],[churn_date]]),1))</f>
        <v/>
      </c>
      <c r="O40" t="s">
        <v>38</v>
      </c>
      <c r="P40">
        <v>4</v>
      </c>
      <c r="Q40">
        <v>9</v>
      </c>
      <c r="R40">
        <v>71</v>
      </c>
      <c r="S40" t="str">
        <f t="shared" si="0"/>
        <v>High Usage</v>
      </c>
      <c r="T40" t="s">
        <v>32</v>
      </c>
    </row>
    <row r="41" spans="1:20" x14ac:dyDescent="0.3">
      <c r="A41" t="s">
        <v>104</v>
      </c>
      <c r="B41" t="s">
        <v>45</v>
      </c>
      <c r="C41" t="s">
        <v>36</v>
      </c>
      <c r="D41" t="s">
        <v>60</v>
      </c>
      <c r="E41" t="s">
        <v>47</v>
      </c>
      <c r="F41">
        <v>24</v>
      </c>
      <c r="G41">
        <v>752.72</v>
      </c>
      <c r="H41" t="s">
        <v>37</v>
      </c>
      <c r="I41" t="s">
        <v>66</v>
      </c>
      <c r="J41" s="1">
        <v>45063</v>
      </c>
      <c r="K41" s="1">
        <f>DATE(YEAR(subscriptions[[#This Row],[signup_date]]),MONTH(subscriptions[[#This Row],[signup_date]]),1)</f>
        <v>45047</v>
      </c>
      <c r="L41" t="s">
        <v>34</v>
      </c>
      <c r="M41" s="1"/>
      <c r="N41" s="1" t="str">
        <f>IF(subscriptions[[#This Row],[churn_date]]="","",DATE(YEAR(subscriptions[[#This Row],[churn_date]]),MONTH(subscriptions[[#This Row],[churn_date]]),1))</f>
        <v/>
      </c>
      <c r="O41" t="s">
        <v>38</v>
      </c>
      <c r="P41">
        <v>9</v>
      </c>
      <c r="Q41">
        <v>2</v>
      </c>
      <c r="R41">
        <v>76</v>
      </c>
      <c r="S41" t="str">
        <f t="shared" si="0"/>
        <v>High Usage</v>
      </c>
      <c r="T41" t="s">
        <v>34</v>
      </c>
    </row>
    <row r="42" spans="1:20" x14ac:dyDescent="0.3">
      <c r="A42" t="s">
        <v>105</v>
      </c>
      <c r="B42" t="s">
        <v>40</v>
      </c>
      <c r="C42" t="s">
        <v>27</v>
      </c>
      <c r="D42" t="s">
        <v>73</v>
      </c>
      <c r="E42" t="s">
        <v>29</v>
      </c>
      <c r="F42">
        <v>53</v>
      </c>
      <c r="G42">
        <v>255.2</v>
      </c>
      <c r="H42" t="s">
        <v>54</v>
      </c>
      <c r="I42" t="s">
        <v>66</v>
      </c>
      <c r="J42" s="1">
        <v>44916</v>
      </c>
      <c r="K42" s="1">
        <f>DATE(YEAR(subscriptions[[#This Row],[signup_date]]),MONTH(subscriptions[[#This Row],[signup_date]]),1)</f>
        <v>44896</v>
      </c>
      <c r="L42" t="s">
        <v>32</v>
      </c>
      <c r="M42" s="1">
        <v>45065</v>
      </c>
      <c r="N42" s="1">
        <f>IF(subscriptions[[#This Row],[churn_date]]="","",DATE(YEAR(subscriptions[[#This Row],[churn_date]]),MONTH(subscriptions[[#This Row],[churn_date]]),1))</f>
        <v>45047</v>
      </c>
      <c r="O42" t="s">
        <v>57</v>
      </c>
      <c r="P42">
        <v>4</v>
      </c>
      <c r="Q42">
        <v>5</v>
      </c>
      <c r="R42">
        <v>45</v>
      </c>
      <c r="S42" t="str">
        <f t="shared" si="0"/>
        <v>Moderate Usage</v>
      </c>
      <c r="T42" t="s">
        <v>34</v>
      </c>
    </row>
    <row r="43" spans="1:20" x14ac:dyDescent="0.3">
      <c r="A43" t="s">
        <v>106</v>
      </c>
      <c r="B43" t="s">
        <v>40</v>
      </c>
      <c r="C43" t="s">
        <v>27</v>
      </c>
      <c r="D43" t="s">
        <v>46</v>
      </c>
      <c r="E43" t="s">
        <v>29</v>
      </c>
      <c r="F43">
        <v>34</v>
      </c>
      <c r="G43">
        <v>172.55</v>
      </c>
      <c r="H43" t="s">
        <v>43</v>
      </c>
      <c r="I43" t="s">
        <v>48</v>
      </c>
      <c r="J43" s="1">
        <v>45661</v>
      </c>
      <c r="K43" s="1">
        <f>DATE(YEAR(subscriptions[[#This Row],[signup_date]]),MONTH(subscriptions[[#This Row],[signup_date]]),1)</f>
        <v>45658</v>
      </c>
      <c r="L43" t="s">
        <v>34</v>
      </c>
      <c r="M43" s="1"/>
      <c r="N43" s="1" t="str">
        <f>IF(subscriptions[[#This Row],[churn_date]]="","",DATE(YEAR(subscriptions[[#This Row],[churn_date]]),MONTH(subscriptions[[#This Row],[churn_date]]),1))</f>
        <v/>
      </c>
      <c r="O43" t="s">
        <v>38</v>
      </c>
      <c r="P43">
        <v>9</v>
      </c>
      <c r="Q43">
        <v>2</v>
      </c>
      <c r="R43">
        <v>73</v>
      </c>
      <c r="S43" t="str">
        <f t="shared" si="0"/>
        <v>High Usage</v>
      </c>
      <c r="T43" t="s">
        <v>34</v>
      </c>
    </row>
    <row r="44" spans="1:20" x14ac:dyDescent="0.3">
      <c r="A44" t="s">
        <v>107</v>
      </c>
      <c r="B44" t="s">
        <v>26</v>
      </c>
      <c r="C44" t="s">
        <v>36</v>
      </c>
      <c r="D44" t="s">
        <v>50</v>
      </c>
      <c r="E44" t="s">
        <v>53</v>
      </c>
      <c r="F44">
        <v>2</v>
      </c>
      <c r="G44">
        <v>77.22</v>
      </c>
      <c r="H44" t="s">
        <v>71</v>
      </c>
      <c r="I44" t="s">
        <v>48</v>
      </c>
      <c r="J44" s="1">
        <v>44612</v>
      </c>
      <c r="K44" s="1">
        <f>DATE(YEAR(subscriptions[[#This Row],[signup_date]]),MONTH(subscriptions[[#This Row],[signup_date]]),1)</f>
        <v>44593</v>
      </c>
      <c r="L44" t="s">
        <v>34</v>
      </c>
      <c r="M44" s="1"/>
      <c r="N44" s="1" t="str">
        <f>IF(subscriptions[[#This Row],[churn_date]]="","",DATE(YEAR(subscriptions[[#This Row],[churn_date]]),MONTH(subscriptions[[#This Row],[churn_date]]),1))</f>
        <v/>
      </c>
      <c r="O44" t="s">
        <v>38</v>
      </c>
      <c r="P44">
        <v>9</v>
      </c>
      <c r="Q44">
        <v>9</v>
      </c>
      <c r="R44">
        <v>20</v>
      </c>
      <c r="S44" t="str">
        <f t="shared" si="0"/>
        <v>Very Low Usage</v>
      </c>
      <c r="T44" t="s">
        <v>34</v>
      </c>
    </row>
    <row r="45" spans="1:20" x14ac:dyDescent="0.3">
      <c r="A45" t="s">
        <v>108</v>
      </c>
      <c r="B45" t="s">
        <v>26</v>
      </c>
      <c r="C45" t="s">
        <v>36</v>
      </c>
      <c r="D45" t="s">
        <v>79</v>
      </c>
      <c r="E45" t="s">
        <v>53</v>
      </c>
      <c r="F45">
        <v>2</v>
      </c>
      <c r="G45">
        <v>77.22</v>
      </c>
      <c r="H45" t="s">
        <v>109</v>
      </c>
      <c r="I45" t="s">
        <v>31</v>
      </c>
      <c r="J45" s="1">
        <v>44678</v>
      </c>
      <c r="K45" s="1">
        <f>DATE(YEAR(subscriptions[[#This Row],[signup_date]]),MONTH(subscriptions[[#This Row],[signup_date]]),1)</f>
        <v>44652</v>
      </c>
      <c r="L45" t="s">
        <v>32</v>
      </c>
      <c r="M45" s="1">
        <v>44775</v>
      </c>
      <c r="N45" s="1">
        <f>IF(subscriptions[[#This Row],[churn_date]]="","",DATE(YEAR(subscriptions[[#This Row],[churn_date]]),MONTH(subscriptions[[#This Row],[churn_date]]),1))</f>
        <v>44774</v>
      </c>
      <c r="O45" t="s">
        <v>33</v>
      </c>
      <c r="P45">
        <v>7</v>
      </c>
      <c r="Q45">
        <v>6</v>
      </c>
      <c r="R45">
        <v>20</v>
      </c>
      <c r="S45" t="str">
        <f t="shared" si="0"/>
        <v>Very Low Usage</v>
      </c>
      <c r="T45" t="s">
        <v>34</v>
      </c>
    </row>
    <row r="46" spans="1:20" x14ac:dyDescent="0.3">
      <c r="A46" t="s">
        <v>110</v>
      </c>
      <c r="B46" t="s">
        <v>40</v>
      </c>
      <c r="C46" t="s">
        <v>27</v>
      </c>
      <c r="D46" t="s">
        <v>28</v>
      </c>
      <c r="E46" t="s">
        <v>47</v>
      </c>
      <c r="F46">
        <v>7</v>
      </c>
      <c r="G46">
        <v>55.1</v>
      </c>
      <c r="H46" t="s">
        <v>109</v>
      </c>
      <c r="I46" t="s">
        <v>80</v>
      </c>
      <c r="J46" s="1">
        <v>45910</v>
      </c>
      <c r="K46" s="1">
        <f>DATE(YEAR(subscriptions[[#This Row],[signup_date]]),MONTH(subscriptions[[#This Row],[signup_date]]),1)</f>
        <v>45901</v>
      </c>
      <c r="L46" t="s">
        <v>34</v>
      </c>
      <c r="M46" s="1"/>
      <c r="N46" s="1" t="str">
        <f>IF(subscriptions[[#This Row],[churn_date]]="","",DATE(YEAR(subscriptions[[#This Row],[churn_date]]),MONTH(subscriptions[[#This Row],[churn_date]]),1))</f>
        <v/>
      </c>
      <c r="O46" t="s">
        <v>38</v>
      </c>
      <c r="P46">
        <v>12</v>
      </c>
      <c r="Q46">
        <v>4</v>
      </c>
      <c r="R46">
        <v>67</v>
      </c>
      <c r="S46" t="str">
        <f t="shared" si="0"/>
        <v>High Usage</v>
      </c>
      <c r="T46" t="s">
        <v>34</v>
      </c>
    </row>
    <row r="47" spans="1:20" x14ac:dyDescent="0.3">
      <c r="A47" t="s">
        <v>111</v>
      </c>
      <c r="B47" t="s">
        <v>26</v>
      </c>
      <c r="C47" t="s">
        <v>27</v>
      </c>
      <c r="D47" t="s">
        <v>41</v>
      </c>
      <c r="E47" t="s">
        <v>53</v>
      </c>
      <c r="F47">
        <v>4</v>
      </c>
      <c r="G47">
        <v>114.55</v>
      </c>
      <c r="H47" t="s">
        <v>71</v>
      </c>
      <c r="I47" t="s">
        <v>31</v>
      </c>
      <c r="J47" s="1">
        <v>45114</v>
      </c>
      <c r="K47" s="1">
        <f>DATE(YEAR(subscriptions[[#This Row],[signup_date]]),MONTH(subscriptions[[#This Row],[signup_date]]),1)</f>
        <v>45108</v>
      </c>
      <c r="L47" t="s">
        <v>32</v>
      </c>
      <c r="M47" s="1">
        <v>45350</v>
      </c>
      <c r="N47" s="1">
        <f>IF(subscriptions[[#This Row],[churn_date]]="","",DATE(YEAR(subscriptions[[#This Row],[churn_date]]),MONTH(subscriptions[[#This Row],[churn_date]]),1))</f>
        <v>45323</v>
      </c>
      <c r="O47" t="s">
        <v>93</v>
      </c>
      <c r="P47">
        <v>1</v>
      </c>
      <c r="Q47">
        <v>6</v>
      </c>
      <c r="R47">
        <v>42</v>
      </c>
      <c r="S47" t="str">
        <f t="shared" si="0"/>
        <v>Moderate Usage</v>
      </c>
      <c r="T47" t="s">
        <v>34</v>
      </c>
    </row>
    <row r="48" spans="1:20" x14ac:dyDescent="0.3">
      <c r="A48" t="s">
        <v>112</v>
      </c>
      <c r="B48" t="s">
        <v>45</v>
      </c>
      <c r="C48" t="s">
        <v>27</v>
      </c>
      <c r="D48" t="s">
        <v>60</v>
      </c>
      <c r="E48" t="s">
        <v>53</v>
      </c>
      <c r="F48">
        <v>5</v>
      </c>
      <c r="G48">
        <v>318.39999999999998</v>
      </c>
      <c r="H48" t="s">
        <v>43</v>
      </c>
      <c r="I48" t="s">
        <v>31</v>
      </c>
      <c r="J48" s="1">
        <v>44943</v>
      </c>
      <c r="K48" s="1">
        <f>DATE(YEAR(subscriptions[[#This Row],[signup_date]]),MONTH(subscriptions[[#This Row],[signup_date]]),1)</f>
        <v>44927</v>
      </c>
      <c r="L48" t="s">
        <v>32</v>
      </c>
      <c r="M48" s="1">
        <v>45821</v>
      </c>
      <c r="N48" s="1">
        <f>IF(subscriptions[[#This Row],[churn_date]]="","",DATE(YEAR(subscriptions[[#This Row],[churn_date]]),MONTH(subscriptions[[#This Row],[churn_date]]),1))</f>
        <v>45809</v>
      </c>
      <c r="O48" t="s">
        <v>74</v>
      </c>
      <c r="P48">
        <v>15</v>
      </c>
      <c r="Q48">
        <v>4</v>
      </c>
      <c r="R48">
        <v>46</v>
      </c>
      <c r="S48" t="str">
        <f t="shared" si="0"/>
        <v>Moderate Usage</v>
      </c>
      <c r="T48" t="s">
        <v>34</v>
      </c>
    </row>
    <row r="49" spans="1:20" x14ac:dyDescent="0.3">
      <c r="A49" t="s">
        <v>113</v>
      </c>
      <c r="B49" t="s">
        <v>45</v>
      </c>
      <c r="C49" t="s">
        <v>36</v>
      </c>
      <c r="D49" t="s">
        <v>73</v>
      </c>
      <c r="E49" t="s">
        <v>53</v>
      </c>
      <c r="F49">
        <v>4</v>
      </c>
      <c r="G49">
        <v>245.27</v>
      </c>
      <c r="H49" t="s">
        <v>54</v>
      </c>
      <c r="I49" t="s">
        <v>48</v>
      </c>
      <c r="J49" s="1">
        <v>44669</v>
      </c>
      <c r="K49" s="1">
        <f>DATE(YEAR(subscriptions[[#This Row],[signup_date]]),MONTH(subscriptions[[#This Row],[signup_date]]),1)</f>
        <v>44652</v>
      </c>
      <c r="L49" t="s">
        <v>32</v>
      </c>
      <c r="M49" s="1">
        <v>44754</v>
      </c>
      <c r="N49" s="1">
        <f>IF(subscriptions[[#This Row],[churn_date]]="","",DATE(YEAR(subscriptions[[#This Row],[churn_date]]),MONTH(subscriptions[[#This Row],[churn_date]]),1))</f>
        <v>44743</v>
      </c>
      <c r="O49" t="s">
        <v>64</v>
      </c>
      <c r="P49">
        <v>4</v>
      </c>
      <c r="Q49">
        <v>5</v>
      </c>
      <c r="R49">
        <v>16</v>
      </c>
      <c r="S49" t="str">
        <f t="shared" si="0"/>
        <v>Very Low Usage</v>
      </c>
      <c r="T49" t="s">
        <v>34</v>
      </c>
    </row>
    <row r="50" spans="1:20" x14ac:dyDescent="0.3">
      <c r="A50" t="s">
        <v>114</v>
      </c>
      <c r="B50" t="s">
        <v>26</v>
      </c>
      <c r="C50" t="s">
        <v>27</v>
      </c>
      <c r="D50" t="s">
        <v>46</v>
      </c>
      <c r="E50" t="s">
        <v>29</v>
      </c>
      <c r="F50">
        <v>36</v>
      </c>
      <c r="G50">
        <v>493.75</v>
      </c>
      <c r="H50" t="s">
        <v>43</v>
      </c>
      <c r="I50" t="s">
        <v>66</v>
      </c>
      <c r="J50" s="1">
        <v>44699</v>
      </c>
      <c r="K50" s="1">
        <f>DATE(YEAR(subscriptions[[#This Row],[signup_date]]),MONTH(subscriptions[[#This Row],[signup_date]]),1)</f>
        <v>44682</v>
      </c>
      <c r="L50" t="s">
        <v>32</v>
      </c>
      <c r="M50" s="1">
        <v>44800</v>
      </c>
      <c r="N50" s="1">
        <f>IF(subscriptions[[#This Row],[churn_date]]="","",DATE(YEAR(subscriptions[[#This Row],[churn_date]]),MONTH(subscriptions[[#This Row],[churn_date]]),1))</f>
        <v>44774</v>
      </c>
      <c r="O50" t="s">
        <v>57</v>
      </c>
      <c r="P50">
        <v>1</v>
      </c>
      <c r="Q50">
        <v>6</v>
      </c>
      <c r="R50">
        <v>26</v>
      </c>
      <c r="S50" t="str">
        <f t="shared" si="0"/>
        <v>Moderate Usage</v>
      </c>
      <c r="T50" t="s">
        <v>34</v>
      </c>
    </row>
    <row r="51" spans="1:20" x14ac:dyDescent="0.3">
      <c r="A51" t="s">
        <v>115</v>
      </c>
      <c r="B51" t="s">
        <v>40</v>
      </c>
      <c r="C51" t="s">
        <v>36</v>
      </c>
      <c r="D51" t="s">
        <v>63</v>
      </c>
      <c r="E51" t="s">
        <v>53</v>
      </c>
      <c r="F51">
        <v>7</v>
      </c>
      <c r="G51">
        <v>46.83</v>
      </c>
      <c r="H51" t="s">
        <v>30</v>
      </c>
      <c r="I51" t="s">
        <v>31</v>
      </c>
      <c r="J51" s="1">
        <v>44734</v>
      </c>
      <c r="K51" s="1">
        <f>DATE(YEAR(subscriptions[[#This Row],[signup_date]]),MONTH(subscriptions[[#This Row],[signup_date]]),1)</f>
        <v>44713</v>
      </c>
      <c r="L51" t="s">
        <v>32</v>
      </c>
      <c r="M51" s="1">
        <v>45473</v>
      </c>
      <c r="N51" s="1">
        <f>IF(subscriptions[[#This Row],[churn_date]]="","",DATE(YEAR(subscriptions[[#This Row],[churn_date]]),MONTH(subscriptions[[#This Row],[churn_date]]),1))</f>
        <v>45444</v>
      </c>
      <c r="O51" t="s">
        <v>33</v>
      </c>
      <c r="P51">
        <v>2</v>
      </c>
      <c r="Q51">
        <v>3</v>
      </c>
      <c r="R51">
        <v>38</v>
      </c>
      <c r="S51" t="str">
        <f t="shared" si="0"/>
        <v>Moderate Usage</v>
      </c>
      <c r="T51" t="s">
        <v>34</v>
      </c>
    </row>
    <row r="52" spans="1:20" x14ac:dyDescent="0.3">
      <c r="A52" t="s">
        <v>116</v>
      </c>
      <c r="B52" t="s">
        <v>26</v>
      </c>
      <c r="C52" t="s">
        <v>27</v>
      </c>
      <c r="D52" t="s">
        <v>90</v>
      </c>
      <c r="E52" t="s">
        <v>29</v>
      </c>
      <c r="F52">
        <v>58</v>
      </c>
      <c r="G52">
        <v>754.45</v>
      </c>
      <c r="H52" t="s">
        <v>43</v>
      </c>
      <c r="I52" t="s">
        <v>48</v>
      </c>
      <c r="J52" s="1">
        <v>44922</v>
      </c>
      <c r="K52" s="1">
        <f>DATE(YEAR(subscriptions[[#This Row],[signup_date]]),MONTH(subscriptions[[#This Row],[signup_date]]),1)</f>
        <v>44896</v>
      </c>
      <c r="L52" t="s">
        <v>32</v>
      </c>
      <c r="M52" s="1">
        <v>45030</v>
      </c>
      <c r="N52" s="1">
        <f>IF(subscriptions[[#This Row],[churn_date]]="","",DATE(YEAR(subscriptions[[#This Row],[churn_date]]),MONTH(subscriptions[[#This Row],[churn_date]]),1))</f>
        <v>45017</v>
      </c>
      <c r="O52" t="s">
        <v>33</v>
      </c>
      <c r="P52">
        <v>10</v>
      </c>
      <c r="Q52">
        <v>3</v>
      </c>
      <c r="R52">
        <v>29</v>
      </c>
      <c r="S52" t="str">
        <f t="shared" si="0"/>
        <v>Moderate Usage</v>
      </c>
      <c r="T52" t="s">
        <v>34</v>
      </c>
    </row>
    <row r="53" spans="1:20" x14ac:dyDescent="0.3">
      <c r="A53" t="s">
        <v>117</v>
      </c>
      <c r="B53" t="s">
        <v>40</v>
      </c>
      <c r="C53" t="s">
        <v>27</v>
      </c>
      <c r="D53" t="s">
        <v>63</v>
      </c>
      <c r="E53" t="s">
        <v>56</v>
      </c>
      <c r="F53">
        <v>138</v>
      </c>
      <c r="G53">
        <v>624.95000000000005</v>
      </c>
      <c r="H53" t="s">
        <v>54</v>
      </c>
      <c r="I53" t="s">
        <v>31</v>
      </c>
      <c r="J53" s="1">
        <v>45732</v>
      </c>
      <c r="K53" s="1">
        <f>DATE(YEAR(subscriptions[[#This Row],[signup_date]]),MONTH(subscriptions[[#This Row],[signup_date]]),1)</f>
        <v>45717</v>
      </c>
      <c r="L53" t="s">
        <v>32</v>
      </c>
      <c r="M53" s="1">
        <v>45853</v>
      </c>
      <c r="N53" s="1">
        <f>IF(subscriptions[[#This Row],[churn_date]]="","",DATE(YEAR(subscriptions[[#This Row],[churn_date]]),MONTH(subscriptions[[#This Row],[churn_date]]),1))</f>
        <v>45839</v>
      </c>
      <c r="O53" t="s">
        <v>64</v>
      </c>
      <c r="P53">
        <v>0</v>
      </c>
      <c r="Q53">
        <v>1</v>
      </c>
      <c r="R53">
        <v>38</v>
      </c>
      <c r="S53" t="str">
        <f t="shared" si="0"/>
        <v>Moderate Usage</v>
      </c>
      <c r="T53" t="s">
        <v>34</v>
      </c>
    </row>
    <row r="54" spans="1:20" x14ac:dyDescent="0.3">
      <c r="A54" t="s">
        <v>118</v>
      </c>
      <c r="B54" t="s">
        <v>40</v>
      </c>
      <c r="C54" t="s">
        <v>27</v>
      </c>
      <c r="D54" t="s">
        <v>50</v>
      </c>
      <c r="E54" t="s">
        <v>53</v>
      </c>
      <c r="F54">
        <v>4</v>
      </c>
      <c r="G54">
        <v>42.05</v>
      </c>
      <c r="H54" t="s">
        <v>30</v>
      </c>
      <c r="I54" t="s">
        <v>31</v>
      </c>
      <c r="J54" s="1">
        <v>45750</v>
      </c>
      <c r="K54" s="1">
        <f>DATE(YEAR(subscriptions[[#This Row],[signup_date]]),MONTH(subscriptions[[#This Row],[signup_date]]),1)</f>
        <v>45748</v>
      </c>
      <c r="L54" t="s">
        <v>32</v>
      </c>
      <c r="M54" s="1">
        <v>45842</v>
      </c>
      <c r="N54" s="1">
        <f>IF(subscriptions[[#This Row],[churn_date]]="","",DATE(YEAR(subscriptions[[#This Row],[churn_date]]),MONTH(subscriptions[[#This Row],[churn_date]]),1))</f>
        <v>45839</v>
      </c>
      <c r="O54" t="s">
        <v>33</v>
      </c>
      <c r="P54">
        <v>1</v>
      </c>
      <c r="Q54">
        <v>2</v>
      </c>
      <c r="R54">
        <v>43</v>
      </c>
      <c r="S54" t="str">
        <f t="shared" si="0"/>
        <v>Moderate Usage</v>
      </c>
      <c r="T54" t="s">
        <v>34</v>
      </c>
    </row>
    <row r="55" spans="1:20" x14ac:dyDescent="0.3">
      <c r="A55" t="s">
        <v>119</v>
      </c>
      <c r="B55" t="s">
        <v>26</v>
      </c>
      <c r="C55" t="s">
        <v>36</v>
      </c>
      <c r="D55" t="s">
        <v>63</v>
      </c>
      <c r="E55" t="s">
        <v>56</v>
      </c>
      <c r="F55">
        <v>82</v>
      </c>
      <c r="G55">
        <v>883.02</v>
      </c>
      <c r="H55" t="s">
        <v>109</v>
      </c>
      <c r="I55" t="s">
        <v>31</v>
      </c>
      <c r="J55" s="1">
        <v>45466</v>
      </c>
      <c r="K55" s="1">
        <f>DATE(YEAR(subscriptions[[#This Row],[signup_date]]),MONTH(subscriptions[[#This Row],[signup_date]]),1)</f>
        <v>45444</v>
      </c>
      <c r="L55" t="s">
        <v>34</v>
      </c>
      <c r="M55" s="1"/>
      <c r="N55" s="1" t="str">
        <f>IF(subscriptions[[#This Row],[churn_date]]="","",DATE(YEAR(subscriptions[[#This Row],[churn_date]]),MONTH(subscriptions[[#This Row],[churn_date]]),1))</f>
        <v/>
      </c>
      <c r="O55" t="s">
        <v>38</v>
      </c>
      <c r="P55">
        <v>4</v>
      </c>
      <c r="Q55">
        <v>8</v>
      </c>
      <c r="R55">
        <v>81</v>
      </c>
      <c r="S55" t="str">
        <f t="shared" si="0"/>
        <v>Very High Usage</v>
      </c>
      <c r="T55" t="s">
        <v>34</v>
      </c>
    </row>
    <row r="56" spans="1:20" x14ac:dyDescent="0.3">
      <c r="A56" t="s">
        <v>120</v>
      </c>
      <c r="B56" t="s">
        <v>45</v>
      </c>
      <c r="C56" t="s">
        <v>27</v>
      </c>
      <c r="D56" t="s">
        <v>50</v>
      </c>
      <c r="E56" t="s">
        <v>53</v>
      </c>
      <c r="F56">
        <v>7</v>
      </c>
      <c r="G56">
        <v>378.1</v>
      </c>
      <c r="H56" t="s">
        <v>30</v>
      </c>
      <c r="I56" t="s">
        <v>31</v>
      </c>
      <c r="J56" s="1">
        <v>44664</v>
      </c>
      <c r="K56" s="1">
        <f>DATE(YEAR(subscriptions[[#This Row],[signup_date]]),MONTH(subscriptions[[#This Row],[signup_date]]),1)</f>
        <v>44652</v>
      </c>
      <c r="L56" t="s">
        <v>32</v>
      </c>
      <c r="M56" s="1">
        <v>45551</v>
      </c>
      <c r="N56" s="1">
        <f>IF(subscriptions[[#This Row],[churn_date]]="","",DATE(YEAR(subscriptions[[#This Row],[churn_date]]),MONTH(subscriptions[[#This Row],[churn_date]]),1))</f>
        <v>45536</v>
      </c>
      <c r="O56" t="s">
        <v>93</v>
      </c>
      <c r="P56">
        <v>6</v>
      </c>
      <c r="Q56">
        <v>2</v>
      </c>
      <c r="R56">
        <v>21</v>
      </c>
      <c r="S56" t="str">
        <f t="shared" si="0"/>
        <v>Moderate Usage</v>
      </c>
      <c r="T56" t="s">
        <v>34</v>
      </c>
    </row>
    <row r="57" spans="1:20" x14ac:dyDescent="0.3">
      <c r="A57" t="s">
        <v>121</v>
      </c>
      <c r="B57" t="s">
        <v>45</v>
      </c>
      <c r="C57" t="s">
        <v>27</v>
      </c>
      <c r="D57" t="s">
        <v>52</v>
      </c>
      <c r="E57" t="s">
        <v>47</v>
      </c>
      <c r="F57">
        <v>14</v>
      </c>
      <c r="G57">
        <v>587.04999999999995</v>
      </c>
      <c r="H57" t="s">
        <v>71</v>
      </c>
      <c r="I57" t="s">
        <v>31</v>
      </c>
      <c r="J57" s="1">
        <v>45649</v>
      </c>
      <c r="K57" s="1">
        <f>DATE(YEAR(subscriptions[[#This Row],[signup_date]]),MONTH(subscriptions[[#This Row],[signup_date]]),1)</f>
        <v>45627</v>
      </c>
      <c r="L57" t="s">
        <v>32</v>
      </c>
      <c r="M57" s="1">
        <v>45976</v>
      </c>
      <c r="N57" s="1">
        <f>IF(subscriptions[[#This Row],[churn_date]]="","",DATE(YEAR(subscriptions[[#This Row],[churn_date]]),MONTH(subscriptions[[#This Row],[churn_date]]),1))</f>
        <v>45962</v>
      </c>
      <c r="O57" t="s">
        <v>93</v>
      </c>
      <c r="P57">
        <v>3</v>
      </c>
      <c r="Q57">
        <v>2</v>
      </c>
      <c r="R57">
        <v>37</v>
      </c>
      <c r="S57" t="str">
        <f t="shared" si="0"/>
        <v>Moderate Usage</v>
      </c>
      <c r="T57" t="s">
        <v>34</v>
      </c>
    </row>
    <row r="58" spans="1:20" x14ac:dyDescent="0.3">
      <c r="A58" t="s">
        <v>122</v>
      </c>
      <c r="B58" t="s">
        <v>26</v>
      </c>
      <c r="C58" t="s">
        <v>36</v>
      </c>
      <c r="D58" t="s">
        <v>63</v>
      </c>
      <c r="E58" t="s">
        <v>47</v>
      </c>
      <c r="F58">
        <v>34</v>
      </c>
      <c r="G58">
        <v>399.54</v>
      </c>
      <c r="H58" t="s">
        <v>54</v>
      </c>
      <c r="I58" t="s">
        <v>31</v>
      </c>
      <c r="J58" s="1">
        <v>45485</v>
      </c>
      <c r="K58" s="1">
        <f>DATE(YEAR(subscriptions[[#This Row],[signup_date]]),MONTH(subscriptions[[#This Row],[signup_date]]),1)</f>
        <v>45474</v>
      </c>
      <c r="L58" t="s">
        <v>32</v>
      </c>
      <c r="M58" s="1">
        <v>45874</v>
      </c>
      <c r="N58" s="1">
        <f>IF(subscriptions[[#This Row],[churn_date]]="","",DATE(YEAR(subscriptions[[#This Row],[churn_date]]),MONTH(subscriptions[[#This Row],[churn_date]]),1))</f>
        <v>45870</v>
      </c>
      <c r="O58" t="s">
        <v>74</v>
      </c>
      <c r="P58">
        <v>1</v>
      </c>
      <c r="Q58">
        <v>1</v>
      </c>
      <c r="R58">
        <v>10</v>
      </c>
      <c r="S58" t="str">
        <f t="shared" si="0"/>
        <v>Very Low Usage</v>
      </c>
      <c r="T58" t="s">
        <v>34</v>
      </c>
    </row>
    <row r="59" spans="1:20" x14ac:dyDescent="0.3">
      <c r="A59" t="s">
        <v>123</v>
      </c>
      <c r="B59" t="s">
        <v>40</v>
      </c>
      <c r="C59" t="s">
        <v>27</v>
      </c>
      <c r="D59" t="s">
        <v>46</v>
      </c>
      <c r="E59" t="s">
        <v>56</v>
      </c>
      <c r="F59">
        <v>48</v>
      </c>
      <c r="G59">
        <v>233.45</v>
      </c>
      <c r="H59" t="s">
        <v>54</v>
      </c>
      <c r="I59" t="s">
        <v>48</v>
      </c>
      <c r="J59" s="1">
        <v>44814</v>
      </c>
      <c r="K59" s="1">
        <f>DATE(YEAR(subscriptions[[#This Row],[signup_date]]),MONTH(subscriptions[[#This Row],[signup_date]]),1)</f>
        <v>44805</v>
      </c>
      <c r="L59" t="s">
        <v>32</v>
      </c>
      <c r="M59" s="1">
        <v>45002</v>
      </c>
      <c r="N59" s="1">
        <f>IF(subscriptions[[#This Row],[churn_date]]="","",DATE(YEAR(subscriptions[[#This Row],[churn_date]]),MONTH(subscriptions[[#This Row],[churn_date]]),1))</f>
        <v>44986</v>
      </c>
      <c r="O59" t="s">
        <v>33</v>
      </c>
      <c r="P59">
        <v>2</v>
      </c>
      <c r="Q59">
        <v>1</v>
      </c>
      <c r="R59">
        <v>12</v>
      </c>
      <c r="S59" t="str">
        <f t="shared" si="0"/>
        <v>Very Low Usage</v>
      </c>
      <c r="T59" t="s">
        <v>34</v>
      </c>
    </row>
    <row r="60" spans="1:20" x14ac:dyDescent="0.3">
      <c r="A60" t="s">
        <v>124</v>
      </c>
      <c r="B60" t="s">
        <v>26</v>
      </c>
      <c r="C60" t="s">
        <v>36</v>
      </c>
      <c r="D60" t="s">
        <v>63</v>
      </c>
      <c r="E60" t="s">
        <v>47</v>
      </c>
      <c r="F60">
        <v>28</v>
      </c>
      <c r="G60">
        <v>339.11</v>
      </c>
      <c r="H60" t="s">
        <v>109</v>
      </c>
      <c r="I60" t="s">
        <v>31</v>
      </c>
      <c r="J60" s="1">
        <v>45290</v>
      </c>
      <c r="K60" s="1">
        <f>DATE(YEAR(subscriptions[[#This Row],[signup_date]]),MONTH(subscriptions[[#This Row],[signup_date]]),1)</f>
        <v>45261</v>
      </c>
      <c r="L60" t="s">
        <v>32</v>
      </c>
      <c r="M60" s="1">
        <v>45575</v>
      </c>
      <c r="N60" s="1">
        <f>IF(subscriptions[[#This Row],[churn_date]]="","",DATE(YEAR(subscriptions[[#This Row],[churn_date]]),MONTH(subscriptions[[#This Row],[churn_date]]),1))</f>
        <v>45566</v>
      </c>
      <c r="O60" t="s">
        <v>93</v>
      </c>
      <c r="P60">
        <v>5</v>
      </c>
      <c r="Q60">
        <v>1</v>
      </c>
      <c r="R60">
        <v>13</v>
      </c>
      <c r="S60" t="str">
        <f t="shared" si="0"/>
        <v>Very Low Usage</v>
      </c>
      <c r="T60" t="s">
        <v>34</v>
      </c>
    </row>
    <row r="61" spans="1:20" x14ac:dyDescent="0.3">
      <c r="A61" t="s">
        <v>125</v>
      </c>
      <c r="B61" t="s">
        <v>26</v>
      </c>
      <c r="C61" t="s">
        <v>27</v>
      </c>
      <c r="D61" t="s">
        <v>41</v>
      </c>
      <c r="E61" t="s">
        <v>29</v>
      </c>
      <c r="F61">
        <v>59</v>
      </c>
      <c r="G61">
        <v>766.3</v>
      </c>
      <c r="H61" t="s">
        <v>43</v>
      </c>
      <c r="I61" t="s">
        <v>66</v>
      </c>
      <c r="J61" s="1">
        <v>45503</v>
      </c>
      <c r="K61" s="1">
        <f>DATE(YEAR(subscriptions[[#This Row],[signup_date]]),MONTH(subscriptions[[#This Row],[signup_date]]),1)</f>
        <v>45474</v>
      </c>
      <c r="L61" t="s">
        <v>32</v>
      </c>
      <c r="M61" s="1">
        <v>45542</v>
      </c>
      <c r="N61" s="1">
        <f>IF(subscriptions[[#This Row],[churn_date]]="","",DATE(YEAR(subscriptions[[#This Row],[churn_date]]),MONTH(subscriptions[[#This Row],[churn_date]]),1))</f>
        <v>45536</v>
      </c>
      <c r="O61" t="s">
        <v>61</v>
      </c>
      <c r="P61">
        <v>12</v>
      </c>
      <c r="Q61">
        <v>1</v>
      </c>
      <c r="R61">
        <v>45</v>
      </c>
      <c r="S61" t="str">
        <f t="shared" si="0"/>
        <v>Moderate Usage</v>
      </c>
      <c r="T61" t="s">
        <v>34</v>
      </c>
    </row>
    <row r="62" spans="1:20" x14ac:dyDescent="0.3">
      <c r="A62" t="s">
        <v>126</v>
      </c>
      <c r="B62" t="s">
        <v>45</v>
      </c>
      <c r="C62" t="s">
        <v>27</v>
      </c>
      <c r="D62" t="s">
        <v>79</v>
      </c>
      <c r="E62" t="s">
        <v>29</v>
      </c>
      <c r="F62">
        <v>53</v>
      </c>
      <c r="G62">
        <v>1751.2</v>
      </c>
      <c r="H62" t="s">
        <v>54</v>
      </c>
      <c r="I62" t="s">
        <v>48</v>
      </c>
      <c r="J62" s="1">
        <v>44645</v>
      </c>
      <c r="K62" s="1">
        <f>DATE(YEAR(subscriptions[[#This Row],[signup_date]]),MONTH(subscriptions[[#This Row],[signup_date]]),1)</f>
        <v>44621</v>
      </c>
      <c r="L62" t="s">
        <v>32</v>
      </c>
      <c r="M62" s="1">
        <v>45022</v>
      </c>
      <c r="N62" s="1">
        <f>IF(subscriptions[[#This Row],[churn_date]]="","",DATE(YEAR(subscriptions[[#This Row],[churn_date]]),MONTH(subscriptions[[#This Row],[churn_date]]),1))</f>
        <v>45017</v>
      </c>
      <c r="O62" t="s">
        <v>61</v>
      </c>
      <c r="P62">
        <v>13</v>
      </c>
      <c r="Q62">
        <v>5</v>
      </c>
      <c r="R62">
        <v>11</v>
      </c>
      <c r="S62" t="str">
        <f t="shared" si="0"/>
        <v>Very Low Usage</v>
      </c>
      <c r="T62" t="s">
        <v>34</v>
      </c>
    </row>
    <row r="63" spans="1:20" x14ac:dyDescent="0.3">
      <c r="A63" t="s">
        <v>127</v>
      </c>
      <c r="B63" t="s">
        <v>26</v>
      </c>
      <c r="C63" t="s">
        <v>27</v>
      </c>
      <c r="D63" t="s">
        <v>41</v>
      </c>
      <c r="E63" t="s">
        <v>47</v>
      </c>
      <c r="F63">
        <v>21</v>
      </c>
      <c r="G63">
        <v>316</v>
      </c>
      <c r="H63" t="s">
        <v>71</v>
      </c>
      <c r="I63" t="s">
        <v>31</v>
      </c>
      <c r="J63" s="1">
        <v>44835</v>
      </c>
      <c r="K63" s="1">
        <f>DATE(YEAR(subscriptions[[#This Row],[signup_date]]),MONTH(subscriptions[[#This Row],[signup_date]]),1)</f>
        <v>44835</v>
      </c>
      <c r="L63" t="s">
        <v>32</v>
      </c>
      <c r="M63" s="1">
        <v>45395</v>
      </c>
      <c r="N63" s="1">
        <f>IF(subscriptions[[#This Row],[churn_date]]="","",DATE(YEAR(subscriptions[[#This Row],[churn_date]]),MONTH(subscriptions[[#This Row],[churn_date]]),1))</f>
        <v>45383</v>
      </c>
      <c r="O63" t="s">
        <v>61</v>
      </c>
      <c r="P63">
        <v>1</v>
      </c>
      <c r="Q63">
        <v>3</v>
      </c>
      <c r="R63">
        <v>16</v>
      </c>
      <c r="S63" t="str">
        <f t="shared" si="0"/>
        <v>Very Low Usage</v>
      </c>
      <c r="T63" t="s">
        <v>34</v>
      </c>
    </row>
    <row r="64" spans="1:20" x14ac:dyDescent="0.3">
      <c r="A64" t="s">
        <v>128</v>
      </c>
      <c r="B64" t="s">
        <v>82</v>
      </c>
      <c r="C64" t="s">
        <v>36</v>
      </c>
      <c r="D64" t="s">
        <v>28</v>
      </c>
      <c r="E64" t="s">
        <v>47</v>
      </c>
      <c r="F64">
        <v>18</v>
      </c>
      <c r="G64">
        <v>1505.73</v>
      </c>
      <c r="H64" t="s">
        <v>30</v>
      </c>
      <c r="I64" t="s">
        <v>31</v>
      </c>
      <c r="J64" s="1">
        <v>45890</v>
      </c>
      <c r="K64" s="1">
        <f>DATE(YEAR(subscriptions[[#This Row],[signup_date]]),MONTH(subscriptions[[#This Row],[signup_date]]),1)</f>
        <v>45870</v>
      </c>
      <c r="L64" t="s">
        <v>34</v>
      </c>
      <c r="M64" s="1"/>
      <c r="N64" s="1" t="str">
        <f>IF(subscriptions[[#This Row],[churn_date]]="","",DATE(YEAR(subscriptions[[#This Row],[churn_date]]),MONTH(subscriptions[[#This Row],[churn_date]]),1))</f>
        <v/>
      </c>
      <c r="O64" t="s">
        <v>38</v>
      </c>
      <c r="P64">
        <v>3</v>
      </c>
      <c r="Q64">
        <v>7</v>
      </c>
      <c r="R64">
        <v>61</v>
      </c>
      <c r="S64" t="str">
        <f t="shared" si="0"/>
        <v>High Usage</v>
      </c>
      <c r="T64" t="s">
        <v>34</v>
      </c>
    </row>
    <row r="65" spans="1:20" x14ac:dyDescent="0.3">
      <c r="A65" t="s">
        <v>129</v>
      </c>
      <c r="B65" t="s">
        <v>26</v>
      </c>
      <c r="C65" t="s">
        <v>36</v>
      </c>
      <c r="D65" t="s">
        <v>28</v>
      </c>
      <c r="E65" t="s">
        <v>29</v>
      </c>
      <c r="F65">
        <v>51</v>
      </c>
      <c r="G65">
        <v>570.77</v>
      </c>
      <c r="H65" t="s">
        <v>37</v>
      </c>
      <c r="I65" t="s">
        <v>66</v>
      </c>
      <c r="J65" s="1">
        <v>44836</v>
      </c>
      <c r="K65" s="1">
        <f>DATE(YEAR(subscriptions[[#This Row],[signup_date]]),MONTH(subscriptions[[#This Row],[signup_date]]),1)</f>
        <v>44835</v>
      </c>
      <c r="L65" t="s">
        <v>34</v>
      </c>
      <c r="M65" s="1"/>
      <c r="N65" s="1" t="str">
        <f>IF(subscriptions[[#This Row],[churn_date]]="","",DATE(YEAR(subscriptions[[#This Row],[churn_date]]),MONTH(subscriptions[[#This Row],[churn_date]]),1))</f>
        <v/>
      </c>
      <c r="O65" t="s">
        <v>38</v>
      </c>
      <c r="P65">
        <v>1</v>
      </c>
      <c r="Q65">
        <v>10</v>
      </c>
      <c r="R65">
        <v>33</v>
      </c>
      <c r="S65" t="str">
        <f t="shared" si="0"/>
        <v>Moderate Usage</v>
      </c>
      <c r="T65" t="s">
        <v>34</v>
      </c>
    </row>
    <row r="66" spans="1:20" x14ac:dyDescent="0.3">
      <c r="A66" t="s">
        <v>130</v>
      </c>
      <c r="B66" t="s">
        <v>40</v>
      </c>
      <c r="C66" t="s">
        <v>27</v>
      </c>
      <c r="D66" t="s">
        <v>50</v>
      </c>
      <c r="E66" t="s">
        <v>56</v>
      </c>
      <c r="F66">
        <v>60</v>
      </c>
      <c r="G66">
        <v>285.64999999999998</v>
      </c>
      <c r="H66" t="s">
        <v>37</v>
      </c>
      <c r="I66" t="s">
        <v>31</v>
      </c>
      <c r="J66" s="1">
        <v>44877</v>
      </c>
      <c r="K66" s="1">
        <f>DATE(YEAR(subscriptions[[#This Row],[signup_date]]),MONTH(subscriptions[[#This Row],[signup_date]]),1)</f>
        <v>44866</v>
      </c>
      <c r="L66" t="s">
        <v>32</v>
      </c>
      <c r="M66" s="1">
        <v>44885</v>
      </c>
      <c r="N66" s="1">
        <f>IF(subscriptions[[#This Row],[churn_date]]="","",DATE(YEAR(subscriptions[[#This Row],[churn_date]]),MONTH(subscriptions[[#This Row],[churn_date]]),1))</f>
        <v>44866</v>
      </c>
      <c r="O66" t="s">
        <v>57</v>
      </c>
      <c r="P66">
        <v>13</v>
      </c>
      <c r="Q66">
        <v>3</v>
      </c>
      <c r="R66">
        <v>46</v>
      </c>
      <c r="S66" t="str">
        <f t="shared" ref="S66:S129" si="1">IF(R66&lt;=20,"Very Low Usage",
IF(R66&lt;=50,"Moderate Usage",
IF(R66&lt;=80,"High Usage",
"Very High Usage")))</f>
        <v>Moderate Usage</v>
      </c>
      <c r="T66" t="s">
        <v>34</v>
      </c>
    </row>
    <row r="67" spans="1:20" x14ac:dyDescent="0.3">
      <c r="A67" t="s">
        <v>131</v>
      </c>
      <c r="B67" t="s">
        <v>40</v>
      </c>
      <c r="C67" t="s">
        <v>36</v>
      </c>
      <c r="D67" t="s">
        <v>73</v>
      </c>
      <c r="E67" t="s">
        <v>29</v>
      </c>
      <c r="F67">
        <v>55</v>
      </c>
      <c r="G67">
        <v>224.31</v>
      </c>
      <c r="H67" t="s">
        <v>30</v>
      </c>
      <c r="I67" t="s">
        <v>31</v>
      </c>
      <c r="J67" s="1">
        <v>45471</v>
      </c>
      <c r="K67" s="1">
        <f>DATE(YEAR(subscriptions[[#This Row],[signup_date]]),MONTH(subscriptions[[#This Row],[signup_date]]),1)</f>
        <v>45444</v>
      </c>
      <c r="L67" t="s">
        <v>32</v>
      </c>
      <c r="M67" s="1">
        <v>45494</v>
      </c>
      <c r="N67" s="1">
        <f>IF(subscriptions[[#This Row],[churn_date]]="","",DATE(YEAR(subscriptions[[#This Row],[churn_date]]),MONTH(subscriptions[[#This Row],[churn_date]]),1))</f>
        <v>45474</v>
      </c>
      <c r="O67" t="s">
        <v>57</v>
      </c>
      <c r="P67">
        <v>12</v>
      </c>
      <c r="Q67">
        <v>1</v>
      </c>
      <c r="R67">
        <v>12</v>
      </c>
      <c r="S67" t="str">
        <f t="shared" si="1"/>
        <v>Very Low Usage</v>
      </c>
      <c r="T67" t="s">
        <v>34</v>
      </c>
    </row>
    <row r="68" spans="1:20" x14ac:dyDescent="0.3">
      <c r="A68" t="s">
        <v>132</v>
      </c>
      <c r="B68" t="s">
        <v>45</v>
      </c>
      <c r="C68" t="s">
        <v>36</v>
      </c>
      <c r="D68" t="s">
        <v>60</v>
      </c>
      <c r="E68" t="s">
        <v>53</v>
      </c>
      <c r="F68">
        <v>7</v>
      </c>
      <c r="G68">
        <v>321.38</v>
      </c>
      <c r="H68" t="s">
        <v>71</v>
      </c>
      <c r="I68" t="s">
        <v>31</v>
      </c>
      <c r="J68" s="1">
        <v>45197</v>
      </c>
      <c r="K68" s="1">
        <f>DATE(YEAR(subscriptions[[#This Row],[signup_date]]),MONTH(subscriptions[[#This Row],[signup_date]]),1)</f>
        <v>45170</v>
      </c>
      <c r="L68" t="s">
        <v>34</v>
      </c>
      <c r="M68" s="1"/>
      <c r="N68" s="1" t="str">
        <f>IF(subscriptions[[#This Row],[churn_date]]="","",DATE(YEAR(subscriptions[[#This Row],[churn_date]]),MONTH(subscriptions[[#This Row],[churn_date]]),1))</f>
        <v/>
      </c>
      <c r="O68" t="s">
        <v>38</v>
      </c>
      <c r="P68">
        <v>4</v>
      </c>
      <c r="Q68">
        <v>8</v>
      </c>
      <c r="R68">
        <v>30</v>
      </c>
      <c r="S68" t="str">
        <f t="shared" si="1"/>
        <v>Moderate Usage</v>
      </c>
      <c r="T68" t="s">
        <v>34</v>
      </c>
    </row>
    <row r="69" spans="1:20" x14ac:dyDescent="0.3">
      <c r="A69" t="s">
        <v>133</v>
      </c>
      <c r="B69" t="s">
        <v>26</v>
      </c>
      <c r="C69" t="s">
        <v>36</v>
      </c>
      <c r="D69" t="s">
        <v>73</v>
      </c>
      <c r="E69" t="s">
        <v>53</v>
      </c>
      <c r="F69">
        <v>1</v>
      </c>
      <c r="G69">
        <v>67.150000000000006</v>
      </c>
      <c r="H69" t="s">
        <v>54</v>
      </c>
      <c r="I69" t="s">
        <v>66</v>
      </c>
      <c r="J69" s="1">
        <v>45993</v>
      </c>
      <c r="K69" s="1">
        <f>DATE(YEAR(subscriptions[[#This Row],[signup_date]]),MONTH(subscriptions[[#This Row],[signup_date]]),1)</f>
        <v>45992</v>
      </c>
      <c r="L69" t="s">
        <v>34</v>
      </c>
      <c r="M69" s="1"/>
      <c r="N69" s="1" t="str">
        <f>IF(subscriptions[[#This Row],[churn_date]]="","",DATE(YEAR(subscriptions[[#This Row],[churn_date]]),MONTH(subscriptions[[#This Row],[churn_date]]),1))</f>
        <v/>
      </c>
      <c r="O69" t="s">
        <v>38</v>
      </c>
      <c r="P69">
        <v>7</v>
      </c>
      <c r="Q69">
        <v>3</v>
      </c>
      <c r="R69">
        <v>29</v>
      </c>
      <c r="S69" t="str">
        <f t="shared" si="1"/>
        <v>Moderate Usage</v>
      </c>
      <c r="T69" t="s">
        <v>34</v>
      </c>
    </row>
    <row r="70" spans="1:20" x14ac:dyDescent="0.3">
      <c r="A70" t="s">
        <v>134</v>
      </c>
      <c r="B70" t="s">
        <v>40</v>
      </c>
      <c r="C70" t="s">
        <v>36</v>
      </c>
      <c r="D70" t="s">
        <v>60</v>
      </c>
      <c r="E70" t="s">
        <v>53</v>
      </c>
      <c r="F70">
        <v>2</v>
      </c>
      <c r="G70">
        <v>28.35</v>
      </c>
      <c r="H70" t="s">
        <v>30</v>
      </c>
      <c r="I70" t="s">
        <v>48</v>
      </c>
      <c r="J70" s="1">
        <v>45137</v>
      </c>
      <c r="K70" s="1">
        <f>DATE(YEAR(subscriptions[[#This Row],[signup_date]]),MONTH(subscriptions[[#This Row],[signup_date]]),1)</f>
        <v>45108</v>
      </c>
      <c r="L70" t="s">
        <v>32</v>
      </c>
      <c r="M70" s="1">
        <v>45552</v>
      </c>
      <c r="N70" s="1">
        <f>IF(subscriptions[[#This Row],[churn_date]]="","",DATE(YEAR(subscriptions[[#This Row],[churn_date]]),MONTH(subscriptions[[#This Row],[churn_date]]),1))</f>
        <v>45536</v>
      </c>
      <c r="O70" t="s">
        <v>93</v>
      </c>
      <c r="P70">
        <v>1</v>
      </c>
      <c r="Q70">
        <v>2</v>
      </c>
      <c r="R70">
        <v>25</v>
      </c>
      <c r="S70" t="str">
        <f t="shared" si="1"/>
        <v>Moderate Usage</v>
      </c>
      <c r="T70" t="s">
        <v>34</v>
      </c>
    </row>
    <row r="71" spans="1:20" x14ac:dyDescent="0.3">
      <c r="A71" t="s">
        <v>135</v>
      </c>
      <c r="B71" t="s">
        <v>45</v>
      </c>
      <c r="C71" t="s">
        <v>27</v>
      </c>
      <c r="D71" t="s">
        <v>52</v>
      </c>
      <c r="E71" t="s">
        <v>29</v>
      </c>
      <c r="F71">
        <v>64</v>
      </c>
      <c r="G71">
        <v>2079.5500000000002</v>
      </c>
      <c r="H71" t="s">
        <v>30</v>
      </c>
      <c r="I71" t="s">
        <v>31</v>
      </c>
      <c r="J71" s="1">
        <v>44798</v>
      </c>
      <c r="K71" s="1">
        <f>DATE(YEAR(subscriptions[[#This Row],[signup_date]]),MONTH(subscriptions[[#This Row],[signup_date]]),1)</f>
        <v>44774</v>
      </c>
      <c r="L71" t="s">
        <v>32</v>
      </c>
      <c r="M71" s="1">
        <v>44800</v>
      </c>
      <c r="N71" s="1">
        <f>IF(subscriptions[[#This Row],[churn_date]]="","",DATE(YEAR(subscriptions[[#This Row],[churn_date]]),MONTH(subscriptions[[#This Row],[churn_date]]),1))</f>
        <v>44774</v>
      </c>
      <c r="O71" t="s">
        <v>74</v>
      </c>
      <c r="P71">
        <v>3</v>
      </c>
      <c r="Q71">
        <v>1</v>
      </c>
      <c r="R71">
        <v>28</v>
      </c>
      <c r="S71" t="str">
        <f t="shared" si="1"/>
        <v>Moderate Usage</v>
      </c>
      <c r="T71" t="s">
        <v>34</v>
      </c>
    </row>
    <row r="72" spans="1:20" x14ac:dyDescent="0.3">
      <c r="A72" t="s">
        <v>136</v>
      </c>
      <c r="B72" t="s">
        <v>82</v>
      </c>
      <c r="C72" t="s">
        <v>27</v>
      </c>
      <c r="D72" t="s">
        <v>28</v>
      </c>
      <c r="E72" t="s">
        <v>56</v>
      </c>
      <c r="F72">
        <v>58</v>
      </c>
      <c r="G72">
        <v>4765.45</v>
      </c>
      <c r="H72" t="s">
        <v>30</v>
      </c>
      <c r="I72" t="s">
        <v>48</v>
      </c>
      <c r="J72" s="1">
        <v>44583</v>
      </c>
      <c r="K72" s="1">
        <f>DATE(YEAR(subscriptions[[#This Row],[signup_date]]),MONTH(subscriptions[[#This Row],[signup_date]]),1)</f>
        <v>44562</v>
      </c>
      <c r="L72" t="s">
        <v>34</v>
      </c>
      <c r="M72" s="1"/>
      <c r="N72" s="1" t="str">
        <f>IF(subscriptions[[#This Row],[churn_date]]="","",DATE(YEAR(subscriptions[[#This Row],[churn_date]]),MONTH(subscriptions[[#This Row],[churn_date]]),1))</f>
        <v/>
      </c>
      <c r="O72" t="s">
        <v>38</v>
      </c>
      <c r="P72">
        <v>4</v>
      </c>
      <c r="Q72">
        <v>10</v>
      </c>
      <c r="R72">
        <v>42</v>
      </c>
      <c r="S72" t="str">
        <f t="shared" si="1"/>
        <v>Moderate Usage</v>
      </c>
      <c r="T72" t="s">
        <v>34</v>
      </c>
    </row>
    <row r="73" spans="1:20" x14ac:dyDescent="0.3">
      <c r="A73" t="s">
        <v>137</v>
      </c>
      <c r="B73" t="s">
        <v>40</v>
      </c>
      <c r="C73" t="s">
        <v>27</v>
      </c>
      <c r="D73" t="s">
        <v>90</v>
      </c>
      <c r="E73" t="s">
        <v>29</v>
      </c>
      <c r="F73">
        <v>31</v>
      </c>
      <c r="G73">
        <v>159.5</v>
      </c>
      <c r="H73" t="s">
        <v>30</v>
      </c>
      <c r="I73" t="s">
        <v>31</v>
      </c>
      <c r="J73" s="1">
        <v>45464</v>
      </c>
      <c r="K73" s="1">
        <f>DATE(YEAR(subscriptions[[#This Row],[signup_date]]),MONTH(subscriptions[[#This Row],[signup_date]]),1)</f>
        <v>45444</v>
      </c>
      <c r="L73" t="s">
        <v>34</v>
      </c>
      <c r="M73" s="1"/>
      <c r="N73" s="1" t="str">
        <f>IF(subscriptions[[#This Row],[churn_date]]="","",DATE(YEAR(subscriptions[[#This Row],[churn_date]]),MONTH(subscriptions[[#This Row],[churn_date]]),1))</f>
        <v/>
      </c>
      <c r="O73" t="s">
        <v>38</v>
      </c>
      <c r="P73">
        <v>7</v>
      </c>
      <c r="Q73">
        <v>10</v>
      </c>
      <c r="R73">
        <v>81</v>
      </c>
      <c r="S73" t="str">
        <f t="shared" si="1"/>
        <v>Very High Usage</v>
      </c>
      <c r="T73" t="s">
        <v>34</v>
      </c>
    </row>
    <row r="74" spans="1:20" x14ac:dyDescent="0.3">
      <c r="A74" t="s">
        <v>138</v>
      </c>
      <c r="B74" t="s">
        <v>26</v>
      </c>
      <c r="C74" t="s">
        <v>27</v>
      </c>
      <c r="D74" t="s">
        <v>63</v>
      </c>
      <c r="E74" t="s">
        <v>56</v>
      </c>
      <c r="F74">
        <v>106</v>
      </c>
      <c r="G74">
        <v>1323.25</v>
      </c>
      <c r="H74" t="s">
        <v>54</v>
      </c>
      <c r="I74" t="s">
        <v>31</v>
      </c>
      <c r="J74" s="1">
        <v>45797</v>
      </c>
      <c r="K74" s="1">
        <f>DATE(YEAR(subscriptions[[#This Row],[signup_date]]),MONTH(subscriptions[[#This Row],[signup_date]]),1)</f>
        <v>45778</v>
      </c>
      <c r="L74" t="s">
        <v>34</v>
      </c>
      <c r="M74" s="1"/>
      <c r="N74" s="1" t="str">
        <f>IF(subscriptions[[#This Row],[churn_date]]="","",DATE(YEAR(subscriptions[[#This Row],[churn_date]]),MONTH(subscriptions[[#This Row],[churn_date]]),1))</f>
        <v/>
      </c>
      <c r="O74" t="s">
        <v>38</v>
      </c>
      <c r="P74">
        <v>7</v>
      </c>
      <c r="Q74">
        <v>2</v>
      </c>
      <c r="R74">
        <v>87</v>
      </c>
      <c r="S74" t="str">
        <f t="shared" si="1"/>
        <v>Very High Usage</v>
      </c>
      <c r="T74" t="s">
        <v>32</v>
      </c>
    </row>
    <row r="75" spans="1:20" x14ac:dyDescent="0.3">
      <c r="A75" t="s">
        <v>139</v>
      </c>
      <c r="B75" t="s">
        <v>40</v>
      </c>
      <c r="C75" t="s">
        <v>27</v>
      </c>
      <c r="D75" t="s">
        <v>79</v>
      </c>
      <c r="E75" t="s">
        <v>29</v>
      </c>
      <c r="F75">
        <v>42</v>
      </c>
      <c r="G75">
        <v>207.35</v>
      </c>
      <c r="H75" t="s">
        <v>71</v>
      </c>
      <c r="I75" t="s">
        <v>31</v>
      </c>
      <c r="J75" s="1">
        <v>45274</v>
      </c>
      <c r="K75" s="1">
        <f>DATE(YEAR(subscriptions[[#This Row],[signup_date]]),MONTH(subscriptions[[#This Row],[signup_date]]),1)</f>
        <v>45261</v>
      </c>
      <c r="L75" t="s">
        <v>32</v>
      </c>
      <c r="M75" s="1">
        <v>45629</v>
      </c>
      <c r="N75" s="1">
        <f>IF(subscriptions[[#This Row],[churn_date]]="","",DATE(YEAR(subscriptions[[#This Row],[churn_date]]),MONTH(subscriptions[[#This Row],[churn_date]]),1))</f>
        <v>45627</v>
      </c>
      <c r="O75" t="s">
        <v>67</v>
      </c>
      <c r="P75">
        <v>12</v>
      </c>
      <c r="Q75">
        <v>3</v>
      </c>
      <c r="R75">
        <v>10</v>
      </c>
      <c r="S75" t="str">
        <f t="shared" si="1"/>
        <v>Very Low Usage</v>
      </c>
      <c r="T75" t="s">
        <v>34</v>
      </c>
    </row>
    <row r="76" spans="1:20" x14ac:dyDescent="0.3">
      <c r="A76" t="s">
        <v>140</v>
      </c>
      <c r="B76" t="s">
        <v>26</v>
      </c>
      <c r="C76" t="s">
        <v>27</v>
      </c>
      <c r="D76" t="s">
        <v>28</v>
      </c>
      <c r="E76" t="s">
        <v>53</v>
      </c>
      <c r="F76">
        <v>6</v>
      </c>
      <c r="G76">
        <v>138.25</v>
      </c>
      <c r="H76" t="s">
        <v>71</v>
      </c>
      <c r="I76" t="s">
        <v>31</v>
      </c>
      <c r="J76" s="1">
        <v>44925</v>
      </c>
      <c r="K76" s="1">
        <f>DATE(YEAR(subscriptions[[#This Row],[signup_date]]),MONTH(subscriptions[[#This Row],[signup_date]]),1)</f>
        <v>44896</v>
      </c>
      <c r="L76" t="s">
        <v>34</v>
      </c>
      <c r="M76" s="1"/>
      <c r="N76" s="1" t="str">
        <f>IF(subscriptions[[#This Row],[churn_date]]="","",DATE(YEAR(subscriptions[[#This Row],[churn_date]]),MONTH(subscriptions[[#This Row],[churn_date]]),1))</f>
        <v/>
      </c>
      <c r="O76" t="s">
        <v>38</v>
      </c>
      <c r="P76">
        <v>5</v>
      </c>
      <c r="Q76">
        <v>1</v>
      </c>
      <c r="R76">
        <v>49</v>
      </c>
      <c r="S76" t="str">
        <f t="shared" si="1"/>
        <v>Moderate Usage</v>
      </c>
      <c r="T76" t="s">
        <v>34</v>
      </c>
    </row>
    <row r="77" spans="1:20" x14ac:dyDescent="0.3">
      <c r="A77" t="s">
        <v>141</v>
      </c>
      <c r="B77" t="s">
        <v>26</v>
      </c>
      <c r="C77" t="s">
        <v>36</v>
      </c>
      <c r="D77" t="s">
        <v>63</v>
      </c>
      <c r="E77" t="s">
        <v>56</v>
      </c>
      <c r="F77">
        <v>56</v>
      </c>
      <c r="G77">
        <v>621.14</v>
      </c>
      <c r="H77" t="s">
        <v>54</v>
      </c>
      <c r="I77" t="s">
        <v>48</v>
      </c>
      <c r="J77" s="1">
        <v>45354</v>
      </c>
      <c r="K77" s="1">
        <f>DATE(YEAR(subscriptions[[#This Row],[signup_date]]),MONTH(subscriptions[[#This Row],[signup_date]]),1)</f>
        <v>45352</v>
      </c>
      <c r="L77" t="s">
        <v>34</v>
      </c>
      <c r="M77" s="1"/>
      <c r="N77" s="1" t="str">
        <f>IF(subscriptions[[#This Row],[churn_date]]="","",DATE(YEAR(subscriptions[[#This Row],[churn_date]]),MONTH(subscriptions[[#This Row],[churn_date]]),1))</f>
        <v/>
      </c>
      <c r="O77" t="s">
        <v>38</v>
      </c>
      <c r="P77">
        <v>2</v>
      </c>
      <c r="Q77">
        <v>5</v>
      </c>
      <c r="R77">
        <v>87</v>
      </c>
      <c r="S77" t="str">
        <f t="shared" si="1"/>
        <v>Very High Usage</v>
      </c>
      <c r="T77" t="s">
        <v>34</v>
      </c>
    </row>
    <row r="78" spans="1:20" x14ac:dyDescent="0.3">
      <c r="A78" t="s">
        <v>142</v>
      </c>
      <c r="B78" t="s">
        <v>82</v>
      </c>
      <c r="C78" t="s">
        <v>27</v>
      </c>
      <c r="D78" t="s">
        <v>60</v>
      </c>
      <c r="E78" t="s">
        <v>29</v>
      </c>
      <c r="F78">
        <v>52</v>
      </c>
      <c r="G78">
        <v>4316.3500000000004</v>
      </c>
      <c r="H78" t="s">
        <v>43</v>
      </c>
      <c r="I78" t="s">
        <v>48</v>
      </c>
      <c r="J78" s="1">
        <v>45047</v>
      </c>
      <c r="K78" s="1">
        <f>DATE(YEAR(subscriptions[[#This Row],[signup_date]]),MONTH(subscriptions[[#This Row],[signup_date]]),1)</f>
        <v>45047</v>
      </c>
      <c r="L78" t="s">
        <v>34</v>
      </c>
      <c r="M78" s="1"/>
      <c r="N78" s="1" t="str">
        <f>IF(subscriptions[[#This Row],[churn_date]]="","",DATE(YEAR(subscriptions[[#This Row],[churn_date]]),MONTH(subscriptions[[#This Row],[churn_date]]),1))</f>
        <v/>
      </c>
      <c r="O78" t="s">
        <v>38</v>
      </c>
      <c r="P78">
        <v>4</v>
      </c>
      <c r="Q78">
        <v>7</v>
      </c>
      <c r="R78">
        <v>88</v>
      </c>
      <c r="S78" t="str">
        <f t="shared" si="1"/>
        <v>Very High Usage</v>
      </c>
      <c r="T78" t="s">
        <v>34</v>
      </c>
    </row>
    <row r="79" spans="1:20" x14ac:dyDescent="0.3">
      <c r="A79" t="s">
        <v>143</v>
      </c>
      <c r="B79" t="s">
        <v>40</v>
      </c>
      <c r="C79" t="s">
        <v>36</v>
      </c>
      <c r="D79" t="s">
        <v>60</v>
      </c>
      <c r="E79" t="s">
        <v>29</v>
      </c>
      <c r="F79">
        <v>24</v>
      </c>
      <c r="G79">
        <v>109.69</v>
      </c>
      <c r="H79" t="s">
        <v>43</v>
      </c>
      <c r="I79" t="s">
        <v>48</v>
      </c>
      <c r="J79" s="1">
        <v>44978</v>
      </c>
      <c r="K79" s="1">
        <f>DATE(YEAR(subscriptions[[#This Row],[signup_date]]),MONTH(subscriptions[[#This Row],[signup_date]]),1)</f>
        <v>44958</v>
      </c>
      <c r="L79" t="s">
        <v>32</v>
      </c>
      <c r="M79" s="1">
        <v>45909</v>
      </c>
      <c r="N79" s="1">
        <f>IF(subscriptions[[#This Row],[churn_date]]="","",DATE(YEAR(subscriptions[[#This Row],[churn_date]]),MONTH(subscriptions[[#This Row],[churn_date]]),1))</f>
        <v>45901</v>
      </c>
      <c r="O79" t="s">
        <v>64</v>
      </c>
      <c r="P79">
        <v>2</v>
      </c>
      <c r="Q79">
        <v>4</v>
      </c>
      <c r="R79">
        <v>16</v>
      </c>
      <c r="S79" t="str">
        <f t="shared" si="1"/>
        <v>Very Low Usage</v>
      </c>
      <c r="T79" t="s">
        <v>34</v>
      </c>
    </row>
    <row r="80" spans="1:20" x14ac:dyDescent="0.3">
      <c r="A80" t="s">
        <v>144</v>
      </c>
      <c r="B80" t="s">
        <v>45</v>
      </c>
      <c r="C80" t="s">
        <v>27</v>
      </c>
      <c r="D80" t="s">
        <v>63</v>
      </c>
      <c r="E80" t="s">
        <v>29</v>
      </c>
      <c r="F80">
        <v>40</v>
      </c>
      <c r="G80">
        <v>1363.15</v>
      </c>
      <c r="H80" t="s">
        <v>109</v>
      </c>
      <c r="I80" t="s">
        <v>31</v>
      </c>
      <c r="J80" s="1">
        <v>45297</v>
      </c>
      <c r="K80" s="1">
        <f>DATE(YEAR(subscriptions[[#This Row],[signup_date]]),MONTH(subscriptions[[#This Row],[signup_date]]),1)</f>
        <v>45292</v>
      </c>
      <c r="L80" t="s">
        <v>34</v>
      </c>
      <c r="M80" s="1"/>
      <c r="N80" s="1" t="str">
        <f>IF(subscriptions[[#This Row],[churn_date]]="","",DATE(YEAR(subscriptions[[#This Row],[churn_date]]),MONTH(subscriptions[[#This Row],[churn_date]]),1))</f>
        <v/>
      </c>
      <c r="O80" t="s">
        <v>38</v>
      </c>
      <c r="P80">
        <v>0</v>
      </c>
      <c r="Q80">
        <v>4</v>
      </c>
      <c r="R80">
        <v>29</v>
      </c>
      <c r="S80" t="str">
        <f t="shared" si="1"/>
        <v>Moderate Usage</v>
      </c>
      <c r="T80" t="s">
        <v>34</v>
      </c>
    </row>
    <row r="81" spans="1:20" x14ac:dyDescent="0.3">
      <c r="A81" t="s">
        <v>145</v>
      </c>
      <c r="B81" t="s">
        <v>40</v>
      </c>
      <c r="C81" t="s">
        <v>27</v>
      </c>
      <c r="D81" t="s">
        <v>63</v>
      </c>
      <c r="E81" t="s">
        <v>47</v>
      </c>
      <c r="F81">
        <v>5</v>
      </c>
      <c r="G81">
        <v>46.4</v>
      </c>
      <c r="H81" t="s">
        <v>30</v>
      </c>
      <c r="I81" t="s">
        <v>66</v>
      </c>
      <c r="J81" s="1">
        <v>45721</v>
      </c>
      <c r="K81" s="1">
        <f>DATE(YEAR(subscriptions[[#This Row],[signup_date]]),MONTH(subscriptions[[#This Row],[signup_date]]),1)</f>
        <v>45717</v>
      </c>
      <c r="L81" t="s">
        <v>32</v>
      </c>
      <c r="M81" s="1">
        <v>45753</v>
      </c>
      <c r="N81" s="1">
        <f>IF(subscriptions[[#This Row],[churn_date]]="","",DATE(YEAR(subscriptions[[#This Row],[churn_date]]),MONTH(subscriptions[[#This Row],[churn_date]]),1))</f>
        <v>45748</v>
      </c>
      <c r="O81" t="s">
        <v>74</v>
      </c>
      <c r="P81">
        <v>0</v>
      </c>
      <c r="Q81">
        <v>6</v>
      </c>
      <c r="R81">
        <v>20</v>
      </c>
      <c r="S81" t="str">
        <f t="shared" si="1"/>
        <v>Very Low Usage</v>
      </c>
      <c r="T81" t="s">
        <v>34</v>
      </c>
    </row>
    <row r="82" spans="1:20" x14ac:dyDescent="0.3">
      <c r="A82" t="s">
        <v>146</v>
      </c>
      <c r="B82" t="s">
        <v>45</v>
      </c>
      <c r="C82" t="s">
        <v>36</v>
      </c>
      <c r="D82" t="s">
        <v>41</v>
      </c>
      <c r="E82" t="s">
        <v>47</v>
      </c>
      <c r="F82">
        <v>24</v>
      </c>
      <c r="G82">
        <v>752.72</v>
      </c>
      <c r="H82" t="s">
        <v>30</v>
      </c>
      <c r="I82" t="s">
        <v>66</v>
      </c>
      <c r="J82" s="1">
        <v>45308</v>
      </c>
      <c r="K82" s="1">
        <f>DATE(YEAR(subscriptions[[#This Row],[signup_date]]),MONTH(subscriptions[[#This Row],[signup_date]]),1)</f>
        <v>45292</v>
      </c>
      <c r="L82" t="s">
        <v>34</v>
      </c>
      <c r="M82" s="1"/>
      <c r="N82" s="1" t="str">
        <f>IF(subscriptions[[#This Row],[churn_date]]="","",DATE(YEAR(subscriptions[[#This Row],[churn_date]]),MONTH(subscriptions[[#This Row],[churn_date]]),1))</f>
        <v/>
      </c>
      <c r="O82" t="s">
        <v>38</v>
      </c>
      <c r="P82">
        <v>2</v>
      </c>
      <c r="Q82">
        <v>6</v>
      </c>
      <c r="R82">
        <v>86</v>
      </c>
      <c r="S82" t="str">
        <f t="shared" si="1"/>
        <v>Very High Usage</v>
      </c>
      <c r="T82" t="s">
        <v>34</v>
      </c>
    </row>
    <row r="83" spans="1:20" x14ac:dyDescent="0.3">
      <c r="A83" t="s">
        <v>147</v>
      </c>
      <c r="B83" t="s">
        <v>40</v>
      </c>
      <c r="C83" t="s">
        <v>36</v>
      </c>
      <c r="D83" t="s">
        <v>52</v>
      </c>
      <c r="E83" t="s">
        <v>53</v>
      </c>
      <c r="F83">
        <v>1</v>
      </c>
      <c r="G83">
        <v>24.65</v>
      </c>
      <c r="H83" t="s">
        <v>109</v>
      </c>
      <c r="I83" t="s">
        <v>48</v>
      </c>
      <c r="J83" s="1">
        <v>45462</v>
      </c>
      <c r="K83" s="1">
        <f>DATE(YEAR(subscriptions[[#This Row],[signup_date]]),MONTH(subscriptions[[#This Row],[signup_date]]),1)</f>
        <v>45444</v>
      </c>
      <c r="L83" t="s">
        <v>32</v>
      </c>
      <c r="M83" s="1">
        <v>45812</v>
      </c>
      <c r="N83" s="1">
        <f>IF(subscriptions[[#This Row],[churn_date]]="","",DATE(YEAR(subscriptions[[#This Row],[churn_date]]),MONTH(subscriptions[[#This Row],[churn_date]]),1))</f>
        <v>45809</v>
      </c>
      <c r="O83" t="s">
        <v>64</v>
      </c>
      <c r="P83">
        <v>14</v>
      </c>
      <c r="Q83">
        <v>2</v>
      </c>
      <c r="R83">
        <v>22</v>
      </c>
      <c r="S83" t="str">
        <f t="shared" si="1"/>
        <v>Moderate Usage</v>
      </c>
      <c r="T83" t="s">
        <v>34</v>
      </c>
    </row>
    <row r="84" spans="1:20" x14ac:dyDescent="0.3">
      <c r="A84" t="s">
        <v>148</v>
      </c>
      <c r="B84" t="s">
        <v>26</v>
      </c>
      <c r="C84" t="s">
        <v>27</v>
      </c>
      <c r="D84" t="s">
        <v>73</v>
      </c>
      <c r="E84" t="s">
        <v>53</v>
      </c>
      <c r="F84">
        <v>5</v>
      </c>
      <c r="G84">
        <v>126.4</v>
      </c>
      <c r="H84" t="s">
        <v>71</v>
      </c>
      <c r="I84" t="s">
        <v>66</v>
      </c>
      <c r="J84" s="1">
        <v>45912</v>
      </c>
      <c r="K84" s="1">
        <f>DATE(YEAR(subscriptions[[#This Row],[signup_date]]),MONTH(subscriptions[[#This Row],[signup_date]]),1)</f>
        <v>45901</v>
      </c>
      <c r="L84" t="s">
        <v>34</v>
      </c>
      <c r="M84" s="1"/>
      <c r="N84" s="1" t="str">
        <f>IF(subscriptions[[#This Row],[churn_date]]="","",DATE(YEAR(subscriptions[[#This Row],[churn_date]]),MONTH(subscriptions[[#This Row],[churn_date]]),1))</f>
        <v/>
      </c>
      <c r="O84" t="s">
        <v>38</v>
      </c>
      <c r="P84">
        <v>6</v>
      </c>
      <c r="Q84">
        <v>9</v>
      </c>
      <c r="R84">
        <v>56</v>
      </c>
      <c r="S84" t="str">
        <f t="shared" si="1"/>
        <v>High Usage</v>
      </c>
      <c r="T84" t="s">
        <v>34</v>
      </c>
    </row>
    <row r="85" spans="1:20" x14ac:dyDescent="0.3">
      <c r="A85" t="s">
        <v>149</v>
      </c>
      <c r="B85" t="s">
        <v>45</v>
      </c>
      <c r="C85" t="s">
        <v>27</v>
      </c>
      <c r="D85" t="s">
        <v>46</v>
      </c>
      <c r="E85" t="s">
        <v>56</v>
      </c>
      <c r="F85">
        <v>71</v>
      </c>
      <c r="G85">
        <v>2288.5</v>
      </c>
      <c r="H85" t="s">
        <v>54</v>
      </c>
      <c r="I85" t="s">
        <v>48</v>
      </c>
      <c r="J85" s="1">
        <v>44947</v>
      </c>
      <c r="K85" s="1">
        <f>DATE(YEAR(subscriptions[[#This Row],[signup_date]]),MONTH(subscriptions[[#This Row],[signup_date]]),1)</f>
        <v>44927</v>
      </c>
      <c r="L85" t="s">
        <v>32</v>
      </c>
      <c r="M85" s="1">
        <v>45308</v>
      </c>
      <c r="N85" s="1">
        <f>IF(subscriptions[[#This Row],[churn_date]]="","",DATE(YEAR(subscriptions[[#This Row],[churn_date]]),MONTH(subscriptions[[#This Row],[churn_date]]),1))</f>
        <v>45292</v>
      </c>
      <c r="O85" t="s">
        <v>93</v>
      </c>
      <c r="P85">
        <v>6</v>
      </c>
      <c r="Q85">
        <v>5</v>
      </c>
      <c r="R85">
        <v>29</v>
      </c>
      <c r="S85" t="str">
        <f t="shared" si="1"/>
        <v>Moderate Usage</v>
      </c>
      <c r="T85" t="s">
        <v>34</v>
      </c>
    </row>
    <row r="86" spans="1:20" x14ac:dyDescent="0.3">
      <c r="A86" t="s">
        <v>150</v>
      </c>
      <c r="B86" t="s">
        <v>40</v>
      </c>
      <c r="C86" t="s">
        <v>27</v>
      </c>
      <c r="D86" t="s">
        <v>46</v>
      </c>
      <c r="E86" t="s">
        <v>47</v>
      </c>
      <c r="F86">
        <v>21</v>
      </c>
      <c r="G86">
        <v>116</v>
      </c>
      <c r="H86" t="s">
        <v>43</v>
      </c>
      <c r="I86" t="s">
        <v>80</v>
      </c>
      <c r="J86" s="1">
        <v>45661</v>
      </c>
      <c r="K86" s="1">
        <f>DATE(YEAR(subscriptions[[#This Row],[signup_date]]),MONTH(subscriptions[[#This Row],[signup_date]]),1)</f>
        <v>45658</v>
      </c>
      <c r="L86" t="s">
        <v>32</v>
      </c>
      <c r="M86" s="1">
        <v>45730</v>
      </c>
      <c r="N86" s="1">
        <f>IF(subscriptions[[#This Row],[churn_date]]="","",DATE(YEAR(subscriptions[[#This Row],[churn_date]]),MONTH(subscriptions[[#This Row],[churn_date]]),1))</f>
        <v>45717</v>
      </c>
      <c r="O86" t="s">
        <v>67</v>
      </c>
      <c r="P86">
        <v>13</v>
      </c>
      <c r="Q86">
        <v>2</v>
      </c>
      <c r="R86">
        <v>42</v>
      </c>
      <c r="S86" t="str">
        <f t="shared" si="1"/>
        <v>Moderate Usage</v>
      </c>
      <c r="T86" t="s">
        <v>34</v>
      </c>
    </row>
    <row r="87" spans="1:20" x14ac:dyDescent="0.3">
      <c r="A87" t="s">
        <v>151</v>
      </c>
      <c r="B87" t="s">
        <v>45</v>
      </c>
      <c r="C87" t="s">
        <v>27</v>
      </c>
      <c r="D87" t="s">
        <v>52</v>
      </c>
      <c r="E87" t="s">
        <v>47</v>
      </c>
      <c r="F87">
        <v>27</v>
      </c>
      <c r="G87">
        <v>975.1</v>
      </c>
      <c r="H87" t="s">
        <v>43</v>
      </c>
      <c r="I87" t="s">
        <v>48</v>
      </c>
      <c r="J87" s="1">
        <v>45479</v>
      </c>
      <c r="K87" s="1">
        <f>DATE(YEAR(subscriptions[[#This Row],[signup_date]]),MONTH(subscriptions[[#This Row],[signup_date]]),1)</f>
        <v>45474</v>
      </c>
      <c r="L87" t="s">
        <v>34</v>
      </c>
      <c r="M87" s="1"/>
      <c r="N87" s="1" t="str">
        <f>IF(subscriptions[[#This Row],[churn_date]]="","",DATE(YEAR(subscriptions[[#This Row],[churn_date]]),MONTH(subscriptions[[#This Row],[churn_date]]),1))</f>
        <v/>
      </c>
      <c r="O87" t="s">
        <v>38</v>
      </c>
      <c r="P87">
        <v>9</v>
      </c>
      <c r="Q87">
        <v>7</v>
      </c>
      <c r="R87">
        <v>35</v>
      </c>
      <c r="S87" t="str">
        <f t="shared" si="1"/>
        <v>Moderate Usage</v>
      </c>
      <c r="T87" t="s">
        <v>34</v>
      </c>
    </row>
    <row r="88" spans="1:20" x14ac:dyDescent="0.3">
      <c r="A88" t="s">
        <v>152</v>
      </c>
      <c r="B88" t="s">
        <v>26</v>
      </c>
      <c r="C88" t="s">
        <v>36</v>
      </c>
      <c r="D88" t="s">
        <v>73</v>
      </c>
      <c r="E88" t="s">
        <v>29</v>
      </c>
      <c r="F88">
        <v>17</v>
      </c>
      <c r="G88">
        <v>228.31</v>
      </c>
      <c r="H88" t="s">
        <v>37</v>
      </c>
      <c r="I88" t="s">
        <v>48</v>
      </c>
      <c r="J88" s="1">
        <v>45421</v>
      </c>
      <c r="K88" s="1">
        <f>DATE(YEAR(subscriptions[[#This Row],[signup_date]]),MONTH(subscriptions[[#This Row],[signup_date]]),1)</f>
        <v>45413</v>
      </c>
      <c r="L88" t="s">
        <v>34</v>
      </c>
      <c r="M88" s="1"/>
      <c r="N88" s="1" t="str">
        <f>IF(subscriptions[[#This Row],[churn_date]]="","",DATE(YEAR(subscriptions[[#This Row],[churn_date]]),MONTH(subscriptions[[#This Row],[churn_date]]),1))</f>
        <v/>
      </c>
      <c r="O88" t="s">
        <v>38</v>
      </c>
      <c r="P88">
        <v>2</v>
      </c>
      <c r="Q88">
        <v>4</v>
      </c>
      <c r="R88">
        <v>88</v>
      </c>
      <c r="S88" t="str">
        <f t="shared" si="1"/>
        <v>Very High Usage</v>
      </c>
      <c r="T88" t="s">
        <v>34</v>
      </c>
    </row>
    <row r="89" spans="1:20" x14ac:dyDescent="0.3">
      <c r="A89" t="s">
        <v>153</v>
      </c>
      <c r="B89" t="s">
        <v>40</v>
      </c>
      <c r="C89" t="s">
        <v>27</v>
      </c>
      <c r="D89" t="s">
        <v>90</v>
      </c>
      <c r="E89" t="s">
        <v>29</v>
      </c>
      <c r="F89">
        <v>76</v>
      </c>
      <c r="G89">
        <v>355.25</v>
      </c>
      <c r="H89" t="s">
        <v>54</v>
      </c>
      <c r="I89" t="s">
        <v>66</v>
      </c>
      <c r="J89" s="1">
        <v>45641</v>
      </c>
      <c r="K89" s="1">
        <f>DATE(YEAR(subscriptions[[#This Row],[signup_date]]),MONTH(subscriptions[[#This Row],[signup_date]]),1)</f>
        <v>45627</v>
      </c>
      <c r="L89" t="s">
        <v>32</v>
      </c>
      <c r="M89" s="1">
        <v>45806</v>
      </c>
      <c r="N89" s="1">
        <f>IF(subscriptions[[#This Row],[churn_date]]="","",DATE(YEAR(subscriptions[[#This Row],[churn_date]]),MONTH(subscriptions[[#This Row],[churn_date]]),1))</f>
        <v>45778</v>
      </c>
      <c r="O89" t="s">
        <v>64</v>
      </c>
      <c r="P89">
        <v>7</v>
      </c>
      <c r="Q89">
        <v>3</v>
      </c>
      <c r="R89">
        <v>20</v>
      </c>
      <c r="S89" t="str">
        <f t="shared" si="1"/>
        <v>Very Low Usage</v>
      </c>
      <c r="T89" t="s">
        <v>34</v>
      </c>
    </row>
    <row r="90" spans="1:20" x14ac:dyDescent="0.3">
      <c r="A90" t="s">
        <v>154</v>
      </c>
      <c r="B90" t="s">
        <v>26</v>
      </c>
      <c r="C90" t="s">
        <v>36</v>
      </c>
      <c r="D90" t="s">
        <v>63</v>
      </c>
      <c r="E90" t="s">
        <v>56</v>
      </c>
      <c r="F90">
        <v>75</v>
      </c>
      <c r="G90">
        <v>812.51</v>
      </c>
      <c r="H90" t="s">
        <v>30</v>
      </c>
      <c r="I90" t="s">
        <v>66</v>
      </c>
      <c r="J90" s="1">
        <v>44886</v>
      </c>
      <c r="K90" s="1">
        <f>DATE(YEAR(subscriptions[[#This Row],[signup_date]]),MONTH(subscriptions[[#This Row],[signup_date]]),1)</f>
        <v>44866</v>
      </c>
      <c r="L90" t="s">
        <v>32</v>
      </c>
      <c r="M90" s="1">
        <v>45200</v>
      </c>
      <c r="N90" s="1">
        <f>IF(subscriptions[[#This Row],[churn_date]]="","",DATE(YEAR(subscriptions[[#This Row],[churn_date]]),MONTH(subscriptions[[#This Row],[churn_date]]),1))</f>
        <v>45200</v>
      </c>
      <c r="O90" t="s">
        <v>57</v>
      </c>
      <c r="P90">
        <v>12</v>
      </c>
      <c r="Q90">
        <v>6</v>
      </c>
      <c r="R90">
        <v>20</v>
      </c>
      <c r="S90" t="str">
        <f t="shared" si="1"/>
        <v>Very Low Usage</v>
      </c>
      <c r="T90" t="s">
        <v>34</v>
      </c>
    </row>
    <row r="91" spans="1:20" x14ac:dyDescent="0.3">
      <c r="A91" t="s">
        <v>155</v>
      </c>
      <c r="B91" t="s">
        <v>45</v>
      </c>
      <c r="C91" t="s">
        <v>36</v>
      </c>
      <c r="D91" t="s">
        <v>63</v>
      </c>
      <c r="E91" t="s">
        <v>29</v>
      </c>
      <c r="F91">
        <v>67</v>
      </c>
      <c r="G91">
        <v>1843.73</v>
      </c>
      <c r="H91" t="s">
        <v>71</v>
      </c>
      <c r="I91" t="s">
        <v>48</v>
      </c>
      <c r="J91" s="1">
        <v>44648</v>
      </c>
      <c r="K91" s="1">
        <f>DATE(YEAR(subscriptions[[#This Row],[signup_date]]),MONTH(subscriptions[[#This Row],[signup_date]]),1)</f>
        <v>44621</v>
      </c>
      <c r="L91" t="s">
        <v>32</v>
      </c>
      <c r="M91" s="1">
        <v>44885</v>
      </c>
      <c r="N91" s="1">
        <f>IF(subscriptions[[#This Row],[churn_date]]="","",DATE(YEAR(subscriptions[[#This Row],[churn_date]]),MONTH(subscriptions[[#This Row],[churn_date]]),1))</f>
        <v>44866</v>
      </c>
      <c r="O91" t="s">
        <v>61</v>
      </c>
      <c r="P91">
        <v>7</v>
      </c>
      <c r="Q91">
        <v>1</v>
      </c>
      <c r="R91">
        <v>36</v>
      </c>
      <c r="S91" t="str">
        <f t="shared" si="1"/>
        <v>Moderate Usage</v>
      </c>
      <c r="T91" t="s">
        <v>34</v>
      </c>
    </row>
    <row r="92" spans="1:20" x14ac:dyDescent="0.3">
      <c r="A92" t="s">
        <v>156</v>
      </c>
      <c r="B92" t="s">
        <v>82</v>
      </c>
      <c r="C92" t="s">
        <v>36</v>
      </c>
      <c r="D92" t="s">
        <v>60</v>
      </c>
      <c r="E92" t="s">
        <v>47</v>
      </c>
      <c r="F92">
        <v>20</v>
      </c>
      <c r="G92">
        <v>1632.98</v>
      </c>
      <c r="H92" t="s">
        <v>54</v>
      </c>
      <c r="I92" t="s">
        <v>31</v>
      </c>
      <c r="J92" s="1">
        <v>45596</v>
      </c>
      <c r="K92" s="1">
        <f>DATE(YEAR(subscriptions[[#This Row],[signup_date]]),MONTH(subscriptions[[#This Row],[signup_date]]),1)</f>
        <v>45566</v>
      </c>
      <c r="L92" t="s">
        <v>32</v>
      </c>
      <c r="M92" s="1">
        <v>45710</v>
      </c>
      <c r="N92" s="1">
        <f>IF(subscriptions[[#This Row],[churn_date]]="","",DATE(YEAR(subscriptions[[#This Row],[churn_date]]),MONTH(subscriptions[[#This Row],[churn_date]]),1))</f>
        <v>45689</v>
      </c>
      <c r="O92" t="s">
        <v>67</v>
      </c>
      <c r="P92">
        <v>13</v>
      </c>
      <c r="Q92">
        <v>2</v>
      </c>
      <c r="R92">
        <v>42</v>
      </c>
      <c r="S92" t="str">
        <f t="shared" si="1"/>
        <v>Moderate Usage</v>
      </c>
      <c r="T92" t="s">
        <v>34</v>
      </c>
    </row>
    <row r="93" spans="1:20" x14ac:dyDescent="0.3">
      <c r="A93" t="s">
        <v>157</v>
      </c>
      <c r="B93" t="s">
        <v>40</v>
      </c>
      <c r="C93" t="s">
        <v>27</v>
      </c>
      <c r="D93" t="s">
        <v>90</v>
      </c>
      <c r="E93" t="s">
        <v>53</v>
      </c>
      <c r="F93">
        <v>5</v>
      </c>
      <c r="G93">
        <v>46.4</v>
      </c>
      <c r="H93" t="s">
        <v>43</v>
      </c>
      <c r="I93" t="s">
        <v>66</v>
      </c>
      <c r="J93" s="1">
        <v>45732</v>
      </c>
      <c r="K93" s="1">
        <f>DATE(YEAR(subscriptions[[#This Row],[signup_date]]),MONTH(subscriptions[[#This Row],[signup_date]]),1)</f>
        <v>45717</v>
      </c>
      <c r="L93" t="s">
        <v>34</v>
      </c>
      <c r="M93" s="1"/>
      <c r="N93" s="1" t="str">
        <f>IF(subscriptions[[#This Row],[churn_date]]="","",DATE(YEAR(subscriptions[[#This Row],[churn_date]]),MONTH(subscriptions[[#This Row],[churn_date]]),1))</f>
        <v/>
      </c>
      <c r="O93" t="s">
        <v>38</v>
      </c>
      <c r="P93">
        <v>7</v>
      </c>
      <c r="Q93">
        <v>7</v>
      </c>
      <c r="R93">
        <v>41</v>
      </c>
      <c r="S93" t="str">
        <f t="shared" si="1"/>
        <v>Moderate Usage</v>
      </c>
      <c r="T93" t="s">
        <v>34</v>
      </c>
    </row>
    <row r="94" spans="1:20" x14ac:dyDescent="0.3">
      <c r="A94" t="s">
        <v>158</v>
      </c>
      <c r="B94" t="s">
        <v>40</v>
      </c>
      <c r="C94" t="s">
        <v>27</v>
      </c>
      <c r="D94" t="s">
        <v>50</v>
      </c>
      <c r="E94" t="s">
        <v>53</v>
      </c>
      <c r="F94">
        <v>7</v>
      </c>
      <c r="G94">
        <v>55.1</v>
      </c>
      <c r="H94" t="s">
        <v>37</v>
      </c>
      <c r="I94" t="s">
        <v>31</v>
      </c>
      <c r="J94" s="1">
        <v>45960</v>
      </c>
      <c r="K94" s="1">
        <f>DATE(YEAR(subscriptions[[#This Row],[signup_date]]),MONTH(subscriptions[[#This Row],[signup_date]]),1)</f>
        <v>45931</v>
      </c>
      <c r="L94" t="s">
        <v>34</v>
      </c>
      <c r="M94" s="1"/>
      <c r="N94" s="1" t="str">
        <f>IF(subscriptions[[#This Row],[churn_date]]="","",DATE(YEAR(subscriptions[[#This Row],[churn_date]]),MONTH(subscriptions[[#This Row],[churn_date]]),1))</f>
        <v/>
      </c>
      <c r="O94" t="s">
        <v>38</v>
      </c>
      <c r="P94">
        <v>2</v>
      </c>
      <c r="Q94">
        <v>10</v>
      </c>
      <c r="R94">
        <v>63</v>
      </c>
      <c r="S94" t="str">
        <f t="shared" si="1"/>
        <v>High Usage</v>
      </c>
      <c r="T94" t="s">
        <v>34</v>
      </c>
    </row>
    <row r="95" spans="1:20" x14ac:dyDescent="0.3">
      <c r="A95" t="s">
        <v>159</v>
      </c>
      <c r="B95" t="s">
        <v>45</v>
      </c>
      <c r="C95" t="s">
        <v>27</v>
      </c>
      <c r="D95" t="s">
        <v>73</v>
      </c>
      <c r="E95" t="s">
        <v>42</v>
      </c>
      <c r="F95">
        <v>234</v>
      </c>
      <c r="G95">
        <v>7154.05</v>
      </c>
      <c r="H95" t="s">
        <v>43</v>
      </c>
      <c r="I95" t="s">
        <v>31</v>
      </c>
      <c r="J95" s="1">
        <v>44771</v>
      </c>
      <c r="K95" s="1">
        <f>DATE(YEAR(subscriptions[[#This Row],[signup_date]]),MONTH(subscriptions[[#This Row],[signup_date]]),1)</f>
        <v>44743</v>
      </c>
      <c r="L95" t="s">
        <v>32</v>
      </c>
      <c r="M95" s="1">
        <v>45930</v>
      </c>
      <c r="N95" s="1">
        <f>IF(subscriptions[[#This Row],[churn_date]]="","",DATE(YEAR(subscriptions[[#This Row],[churn_date]]),MONTH(subscriptions[[#This Row],[churn_date]]),1))</f>
        <v>45901</v>
      </c>
      <c r="O95" t="s">
        <v>57</v>
      </c>
      <c r="P95">
        <v>4</v>
      </c>
      <c r="Q95">
        <v>6</v>
      </c>
      <c r="R95">
        <v>14</v>
      </c>
      <c r="S95" t="str">
        <f t="shared" si="1"/>
        <v>Very Low Usage</v>
      </c>
      <c r="T95" t="s">
        <v>34</v>
      </c>
    </row>
    <row r="96" spans="1:20" x14ac:dyDescent="0.3">
      <c r="A96" t="s">
        <v>160</v>
      </c>
      <c r="B96" t="s">
        <v>26</v>
      </c>
      <c r="C96" t="s">
        <v>27</v>
      </c>
      <c r="D96" t="s">
        <v>41</v>
      </c>
      <c r="E96" t="s">
        <v>47</v>
      </c>
      <c r="F96">
        <v>14</v>
      </c>
      <c r="G96">
        <v>233.05</v>
      </c>
      <c r="H96" t="s">
        <v>71</v>
      </c>
      <c r="I96" t="s">
        <v>31</v>
      </c>
      <c r="J96" s="1">
        <v>44859</v>
      </c>
      <c r="K96" s="1">
        <f>DATE(YEAR(subscriptions[[#This Row],[signup_date]]),MONTH(subscriptions[[#This Row],[signup_date]]),1)</f>
        <v>44835</v>
      </c>
      <c r="L96" t="s">
        <v>32</v>
      </c>
      <c r="M96" s="1">
        <v>45025</v>
      </c>
      <c r="N96" s="1">
        <f>IF(subscriptions[[#This Row],[churn_date]]="","",DATE(YEAR(subscriptions[[#This Row],[churn_date]]),MONTH(subscriptions[[#This Row],[churn_date]]),1))</f>
        <v>45017</v>
      </c>
      <c r="O96" t="s">
        <v>64</v>
      </c>
      <c r="P96">
        <v>5</v>
      </c>
      <c r="Q96">
        <v>6</v>
      </c>
      <c r="R96">
        <v>11</v>
      </c>
      <c r="S96" t="str">
        <f t="shared" si="1"/>
        <v>Very Low Usage</v>
      </c>
      <c r="T96" t="s">
        <v>34</v>
      </c>
    </row>
    <row r="97" spans="1:20" x14ac:dyDescent="0.3">
      <c r="A97" t="s">
        <v>161</v>
      </c>
      <c r="B97" t="s">
        <v>40</v>
      </c>
      <c r="C97" t="s">
        <v>27</v>
      </c>
      <c r="D97" t="s">
        <v>79</v>
      </c>
      <c r="E97" t="s">
        <v>47</v>
      </c>
      <c r="F97">
        <v>15</v>
      </c>
      <c r="G97">
        <v>89.9</v>
      </c>
      <c r="H97" t="s">
        <v>37</v>
      </c>
      <c r="I97" t="s">
        <v>31</v>
      </c>
      <c r="J97" s="1">
        <v>45169</v>
      </c>
      <c r="K97" s="1">
        <f>DATE(YEAR(subscriptions[[#This Row],[signup_date]]),MONTH(subscriptions[[#This Row],[signup_date]]),1)</f>
        <v>45139</v>
      </c>
      <c r="L97" t="s">
        <v>32</v>
      </c>
      <c r="M97" s="1">
        <v>45195</v>
      </c>
      <c r="N97" s="1">
        <f>IF(subscriptions[[#This Row],[churn_date]]="","",DATE(YEAR(subscriptions[[#This Row],[churn_date]]),MONTH(subscriptions[[#This Row],[churn_date]]),1))</f>
        <v>45170</v>
      </c>
      <c r="O97" t="s">
        <v>33</v>
      </c>
      <c r="P97">
        <v>12</v>
      </c>
      <c r="Q97">
        <v>1</v>
      </c>
      <c r="R97">
        <v>12</v>
      </c>
      <c r="S97" t="str">
        <f t="shared" si="1"/>
        <v>Very Low Usage</v>
      </c>
      <c r="T97" t="s">
        <v>34</v>
      </c>
    </row>
    <row r="98" spans="1:20" x14ac:dyDescent="0.3">
      <c r="A98" t="s">
        <v>162</v>
      </c>
      <c r="B98" t="s">
        <v>82</v>
      </c>
      <c r="C98" t="s">
        <v>27</v>
      </c>
      <c r="D98" t="s">
        <v>73</v>
      </c>
      <c r="E98" t="s">
        <v>29</v>
      </c>
      <c r="F98">
        <v>31</v>
      </c>
      <c r="G98">
        <v>2744.5</v>
      </c>
      <c r="H98" t="s">
        <v>30</v>
      </c>
      <c r="I98" t="s">
        <v>31</v>
      </c>
      <c r="J98" s="1">
        <v>45215</v>
      </c>
      <c r="K98" s="1">
        <f>DATE(YEAR(subscriptions[[#This Row],[signup_date]]),MONTH(subscriptions[[#This Row],[signup_date]]),1)</f>
        <v>45200</v>
      </c>
      <c r="L98" t="s">
        <v>34</v>
      </c>
      <c r="M98" s="1"/>
      <c r="N98" s="1" t="str">
        <f>IF(subscriptions[[#This Row],[churn_date]]="","",DATE(YEAR(subscriptions[[#This Row],[churn_date]]),MONTH(subscriptions[[#This Row],[churn_date]]),1))</f>
        <v/>
      </c>
      <c r="O98" t="s">
        <v>38</v>
      </c>
      <c r="P98">
        <v>1</v>
      </c>
      <c r="Q98">
        <v>1</v>
      </c>
      <c r="R98">
        <v>22</v>
      </c>
      <c r="S98" t="str">
        <f t="shared" si="1"/>
        <v>Moderate Usage</v>
      </c>
      <c r="T98" t="s">
        <v>34</v>
      </c>
    </row>
    <row r="99" spans="1:20" x14ac:dyDescent="0.3">
      <c r="A99" t="s">
        <v>163</v>
      </c>
      <c r="B99" t="s">
        <v>26</v>
      </c>
      <c r="C99" t="s">
        <v>36</v>
      </c>
      <c r="D99" t="s">
        <v>90</v>
      </c>
      <c r="E99" t="s">
        <v>53</v>
      </c>
      <c r="F99">
        <v>8</v>
      </c>
      <c r="G99">
        <v>137.66</v>
      </c>
      <c r="H99" t="s">
        <v>30</v>
      </c>
      <c r="I99" t="s">
        <v>31</v>
      </c>
      <c r="J99" s="1">
        <v>45989</v>
      </c>
      <c r="K99" s="1">
        <f>DATE(YEAR(subscriptions[[#This Row],[signup_date]]),MONTH(subscriptions[[#This Row],[signup_date]]),1)</f>
        <v>45962</v>
      </c>
      <c r="L99" t="s">
        <v>32</v>
      </c>
      <c r="M99" s="1">
        <v>46005</v>
      </c>
      <c r="N99" s="1">
        <f>IF(subscriptions[[#This Row],[churn_date]]="","",DATE(YEAR(subscriptions[[#This Row],[churn_date]]),MONTH(subscriptions[[#This Row],[churn_date]]),1))</f>
        <v>45992</v>
      </c>
      <c r="O99" t="s">
        <v>67</v>
      </c>
      <c r="P99">
        <v>10</v>
      </c>
      <c r="Q99">
        <v>6</v>
      </c>
      <c r="R99">
        <v>43</v>
      </c>
      <c r="S99" t="str">
        <f t="shared" si="1"/>
        <v>Moderate Usage</v>
      </c>
      <c r="T99" t="s">
        <v>34</v>
      </c>
    </row>
    <row r="100" spans="1:20" x14ac:dyDescent="0.3">
      <c r="A100" t="s">
        <v>164</v>
      </c>
      <c r="B100" t="s">
        <v>82</v>
      </c>
      <c r="C100" t="s">
        <v>27</v>
      </c>
      <c r="D100" t="s">
        <v>50</v>
      </c>
      <c r="E100" t="s">
        <v>47</v>
      </c>
      <c r="F100">
        <v>6</v>
      </c>
      <c r="G100">
        <v>873.25</v>
      </c>
      <c r="H100" t="s">
        <v>30</v>
      </c>
      <c r="I100" t="s">
        <v>66</v>
      </c>
      <c r="J100" s="1">
        <v>44792</v>
      </c>
      <c r="K100" s="1">
        <f>DATE(YEAR(subscriptions[[#This Row],[signup_date]]),MONTH(subscriptions[[#This Row],[signup_date]]),1)</f>
        <v>44774</v>
      </c>
      <c r="L100" t="s">
        <v>34</v>
      </c>
      <c r="M100" s="1"/>
      <c r="N100" s="1" t="str">
        <f>IF(subscriptions[[#This Row],[churn_date]]="","",DATE(YEAR(subscriptions[[#This Row],[churn_date]]),MONTH(subscriptions[[#This Row],[churn_date]]),1))</f>
        <v/>
      </c>
      <c r="O100" t="s">
        <v>38</v>
      </c>
      <c r="P100">
        <v>3</v>
      </c>
      <c r="Q100">
        <v>4</v>
      </c>
      <c r="R100">
        <v>70</v>
      </c>
      <c r="S100" t="str">
        <f t="shared" si="1"/>
        <v>High Usage</v>
      </c>
      <c r="T100" t="s">
        <v>34</v>
      </c>
    </row>
    <row r="101" spans="1:20" x14ac:dyDescent="0.3">
      <c r="A101" t="s">
        <v>165</v>
      </c>
      <c r="B101" t="s">
        <v>45</v>
      </c>
      <c r="C101" t="s">
        <v>27</v>
      </c>
      <c r="D101" t="s">
        <v>46</v>
      </c>
      <c r="E101" t="s">
        <v>47</v>
      </c>
      <c r="F101">
        <v>17</v>
      </c>
      <c r="G101">
        <v>676.6</v>
      </c>
      <c r="H101" t="s">
        <v>71</v>
      </c>
      <c r="I101" t="s">
        <v>48</v>
      </c>
      <c r="J101" s="1">
        <v>45088</v>
      </c>
      <c r="K101" s="1">
        <f>DATE(YEAR(subscriptions[[#This Row],[signup_date]]),MONTH(subscriptions[[#This Row],[signup_date]]),1)</f>
        <v>45078</v>
      </c>
      <c r="L101" t="s">
        <v>34</v>
      </c>
      <c r="M101" s="1"/>
      <c r="N101" s="1" t="str">
        <f>IF(subscriptions[[#This Row],[churn_date]]="","",DATE(YEAR(subscriptions[[#This Row],[churn_date]]),MONTH(subscriptions[[#This Row],[churn_date]]),1))</f>
        <v/>
      </c>
      <c r="O101" t="s">
        <v>38</v>
      </c>
      <c r="P101">
        <v>1</v>
      </c>
      <c r="Q101">
        <v>4</v>
      </c>
      <c r="R101">
        <v>17</v>
      </c>
      <c r="S101" t="str">
        <f t="shared" si="1"/>
        <v>Very Low Usage</v>
      </c>
      <c r="T101" t="s">
        <v>34</v>
      </c>
    </row>
    <row r="102" spans="1:20" x14ac:dyDescent="0.3">
      <c r="A102" t="s">
        <v>166</v>
      </c>
      <c r="B102" t="s">
        <v>40</v>
      </c>
      <c r="C102" t="s">
        <v>27</v>
      </c>
      <c r="D102" t="s">
        <v>79</v>
      </c>
      <c r="E102" t="s">
        <v>53</v>
      </c>
      <c r="F102">
        <v>2</v>
      </c>
      <c r="G102">
        <v>33.35</v>
      </c>
      <c r="H102" t="s">
        <v>30</v>
      </c>
      <c r="I102" t="s">
        <v>31</v>
      </c>
      <c r="J102" s="1">
        <v>45629</v>
      </c>
      <c r="K102" s="1">
        <f>DATE(YEAR(subscriptions[[#This Row],[signup_date]]),MONTH(subscriptions[[#This Row],[signup_date]]),1)</f>
        <v>45627</v>
      </c>
      <c r="L102" t="s">
        <v>32</v>
      </c>
      <c r="M102" s="1">
        <v>45685</v>
      </c>
      <c r="N102" s="1">
        <f>IF(subscriptions[[#This Row],[churn_date]]="","",DATE(YEAR(subscriptions[[#This Row],[churn_date]]),MONTH(subscriptions[[#This Row],[churn_date]]),1))</f>
        <v>45658</v>
      </c>
      <c r="O102" t="s">
        <v>67</v>
      </c>
      <c r="P102">
        <v>6</v>
      </c>
      <c r="Q102">
        <v>3</v>
      </c>
      <c r="R102">
        <v>15</v>
      </c>
      <c r="S102" t="str">
        <f t="shared" si="1"/>
        <v>Very Low Usage</v>
      </c>
      <c r="T102" t="s">
        <v>34</v>
      </c>
    </row>
    <row r="103" spans="1:20" x14ac:dyDescent="0.3">
      <c r="A103" t="s">
        <v>167</v>
      </c>
      <c r="B103" t="s">
        <v>26</v>
      </c>
      <c r="C103" t="s">
        <v>27</v>
      </c>
      <c r="D103" t="s">
        <v>90</v>
      </c>
      <c r="E103" t="s">
        <v>42</v>
      </c>
      <c r="F103">
        <v>62</v>
      </c>
      <c r="G103">
        <v>801.85</v>
      </c>
      <c r="H103" t="s">
        <v>54</v>
      </c>
      <c r="I103" t="s">
        <v>80</v>
      </c>
      <c r="J103" s="1">
        <v>45233</v>
      </c>
      <c r="K103" s="1">
        <f>DATE(YEAR(subscriptions[[#This Row],[signup_date]]),MONTH(subscriptions[[#This Row],[signup_date]]),1)</f>
        <v>45231</v>
      </c>
      <c r="L103" t="s">
        <v>34</v>
      </c>
      <c r="M103" s="1"/>
      <c r="N103" s="1" t="str">
        <f>IF(subscriptions[[#This Row],[churn_date]]="","",DATE(YEAR(subscriptions[[#This Row],[churn_date]]),MONTH(subscriptions[[#This Row],[churn_date]]),1))</f>
        <v/>
      </c>
      <c r="O103" t="s">
        <v>38</v>
      </c>
      <c r="P103">
        <v>11</v>
      </c>
      <c r="Q103">
        <v>7</v>
      </c>
      <c r="R103">
        <v>88</v>
      </c>
      <c r="S103" t="str">
        <f t="shared" si="1"/>
        <v>Very High Usage</v>
      </c>
      <c r="T103" t="s">
        <v>34</v>
      </c>
    </row>
    <row r="104" spans="1:20" x14ac:dyDescent="0.3">
      <c r="A104" t="s">
        <v>168</v>
      </c>
      <c r="B104" t="s">
        <v>26</v>
      </c>
      <c r="C104" t="s">
        <v>27</v>
      </c>
      <c r="D104" t="s">
        <v>90</v>
      </c>
      <c r="E104" t="s">
        <v>53</v>
      </c>
      <c r="F104">
        <v>4</v>
      </c>
      <c r="G104">
        <v>114.55</v>
      </c>
      <c r="H104" t="s">
        <v>109</v>
      </c>
      <c r="I104" t="s">
        <v>48</v>
      </c>
      <c r="J104" s="1">
        <v>45406</v>
      </c>
      <c r="K104" s="1">
        <f>DATE(YEAR(subscriptions[[#This Row],[signup_date]]),MONTH(subscriptions[[#This Row],[signup_date]]),1)</f>
        <v>45383</v>
      </c>
      <c r="L104" t="s">
        <v>34</v>
      </c>
      <c r="M104" s="1"/>
      <c r="N104" s="1" t="str">
        <f>IF(subscriptions[[#This Row],[churn_date]]="","",DATE(YEAR(subscriptions[[#This Row],[churn_date]]),MONTH(subscriptions[[#This Row],[churn_date]]),1))</f>
        <v/>
      </c>
      <c r="O104" t="s">
        <v>38</v>
      </c>
      <c r="P104">
        <v>0</v>
      </c>
      <c r="Q104">
        <v>6</v>
      </c>
      <c r="R104">
        <v>32</v>
      </c>
      <c r="S104" t="str">
        <f t="shared" si="1"/>
        <v>Moderate Usage</v>
      </c>
      <c r="T104" t="s">
        <v>34</v>
      </c>
    </row>
    <row r="105" spans="1:20" x14ac:dyDescent="0.3">
      <c r="A105" t="s">
        <v>169</v>
      </c>
      <c r="B105" t="s">
        <v>45</v>
      </c>
      <c r="C105" t="s">
        <v>27</v>
      </c>
      <c r="D105" t="s">
        <v>73</v>
      </c>
      <c r="E105" t="s">
        <v>47</v>
      </c>
      <c r="F105">
        <v>17</v>
      </c>
      <c r="G105">
        <v>676.6</v>
      </c>
      <c r="H105" t="s">
        <v>30</v>
      </c>
      <c r="I105" t="s">
        <v>48</v>
      </c>
      <c r="J105" s="1">
        <v>45626</v>
      </c>
      <c r="K105" s="1">
        <f>DATE(YEAR(subscriptions[[#This Row],[signup_date]]),MONTH(subscriptions[[#This Row],[signup_date]]),1)</f>
        <v>45597</v>
      </c>
      <c r="L105" t="s">
        <v>32</v>
      </c>
      <c r="M105" s="1">
        <v>45808</v>
      </c>
      <c r="N105" s="1">
        <f>IF(subscriptions[[#This Row],[churn_date]]="","",DATE(YEAR(subscriptions[[#This Row],[churn_date]]),MONTH(subscriptions[[#This Row],[churn_date]]),1))</f>
        <v>45778</v>
      </c>
      <c r="O105" t="s">
        <v>64</v>
      </c>
      <c r="P105">
        <v>12</v>
      </c>
      <c r="Q105">
        <v>1</v>
      </c>
      <c r="R105">
        <v>30</v>
      </c>
      <c r="S105" t="str">
        <f t="shared" si="1"/>
        <v>Moderate Usage</v>
      </c>
      <c r="T105" t="s">
        <v>34</v>
      </c>
    </row>
    <row r="106" spans="1:20" x14ac:dyDescent="0.3">
      <c r="A106" t="s">
        <v>170</v>
      </c>
      <c r="B106" t="s">
        <v>26</v>
      </c>
      <c r="C106" t="s">
        <v>27</v>
      </c>
      <c r="D106" t="s">
        <v>50</v>
      </c>
      <c r="E106" t="s">
        <v>56</v>
      </c>
      <c r="F106">
        <v>42</v>
      </c>
      <c r="G106">
        <v>564.85</v>
      </c>
      <c r="H106" t="s">
        <v>71</v>
      </c>
      <c r="I106" t="s">
        <v>80</v>
      </c>
      <c r="J106" s="1">
        <v>45281</v>
      </c>
      <c r="K106" s="1">
        <f>DATE(YEAR(subscriptions[[#This Row],[signup_date]]),MONTH(subscriptions[[#This Row],[signup_date]]),1)</f>
        <v>45261</v>
      </c>
      <c r="L106" t="s">
        <v>34</v>
      </c>
      <c r="M106" s="1"/>
      <c r="N106" s="1" t="str">
        <f>IF(subscriptions[[#This Row],[churn_date]]="","",DATE(YEAR(subscriptions[[#This Row],[churn_date]]),MONTH(subscriptions[[#This Row],[churn_date]]),1))</f>
        <v/>
      </c>
      <c r="O106" t="s">
        <v>38</v>
      </c>
      <c r="P106">
        <v>6</v>
      </c>
      <c r="Q106">
        <v>5</v>
      </c>
      <c r="R106">
        <v>53</v>
      </c>
      <c r="S106" t="str">
        <f t="shared" si="1"/>
        <v>High Usage</v>
      </c>
      <c r="T106" t="s">
        <v>32</v>
      </c>
    </row>
    <row r="107" spans="1:20" x14ac:dyDescent="0.3">
      <c r="A107" t="s">
        <v>171</v>
      </c>
      <c r="B107" t="s">
        <v>40</v>
      </c>
      <c r="C107" t="s">
        <v>27</v>
      </c>
      <c r="D107" t="s">
        <v>28</v>
      </c>
      <c r="E107" t="s">
        <v>53</v>
      </c>
      <c r="F107">
        <v>1</v>
      </c>
      <c r="G107">
        <v>29</v>
      </c>
      <c r="H107" t="s">
        <v>54</v>
      </c>
      <c r="I107" t="s">
        <v>66</v>
      </c>
      <c r="J107" s="1">
        <v>45614</v>
      </c>
      <c r="K107" s="1">
        <f>DATE(YEAR(subscriptions[[#This Row],[signup_date]]),MONTH(subscriptions[[#This Row],[signup_date]]),1)</f>
        <v>45597</v>
      </c>
      <c r="L107" t="s">
        <v>32</v>
      </c>
      <c r="M107" s="1">
        <v>45712</v>
      </c>
      <c r="N107" s="1">
        <f>IF(subscriptions[[#This Row],[churn_date]]="","",DATE(YEAR(subscriptions[[#This Row],[churn_date]]),MONTH(subscriptions[[#This Row],[churn_date]]),1))</f>
        <v>45689</v>
      </c>
      <c r="O107" t="s">
        <v>57</v>
      </c>
      <c r="P107">
        <v>4</v>
      </c>
      <c r="Q107">
        <v>3</v>
      </c>
      <c r="R107">
        <v>20</v>
      </c>
      <c r="S107" t="str">
        <f t="shared" si="1"/>
        <v>Very Low Usage</v>
      </c>
      <c r="T107" t="s">
        <v>34</v>
      </c>
    </row>
    <row r="108" spans="1:20" x14ac:dyDescent="0.3">
      <c r="A108" t="s">
        <v>172</v>
      </c>
      <c r="B108" t="s">
        <v>45</v>
      </c>
      <c r="C108" t="s">
        <v>27</v>
      </c>
      <c r="D108" t="s">
        <v>79</v>
      </c>
      <c r="E108" t="s">
        <v>42</v>
      </c>
      <c r="F108">
        <v>139</v>
      </c>
      <c r="G108">
        <v>4318.3</v>
      </c>
      <c r="H108" t="s">
        <v>54</v>
      </c>
      <c r="I108" t="s">
        <v>48</v>
      </c>
      <c r="J108" s="1">
        <v>44791</v>
      </c>
      <c r="K108" s="1">
        <f>DATE(YEAR(subscriptions[[#This Row],[signup_date]]),MONTH(subscriptions[[#This Row],[signup_date]]),1)</f>
        <v>44774</v>
      </c>
      <c r="L108" t="s">
        <v>32</v>
      </c>
      <c r="M108" s="1">
        <v>45421</v>
      </c>
      <c r="N108" s="1">
        <f>IF(subscriptions[[#This Row],[churn_date]]="","",DATE(YEAR(subscriptions[[#This Row],[churn_date]]),MONTH(subscriptions[[#This Row],[churn_date]]),1))</f>
        <v>45413</v>
      </c>
      <c r="O108" t="s">
        <v>74</v>
      </c>
      <c r="P108">
        <v>11</v>
      </c>
      <c r="Q108">
        <v>2</v>
      </c>
      <c r="R108">
        <v>24</v>
      </c>
      <c r="S108" t="str">
        <f t="shared" si="1"/>
        <v>Moderate Usage</v>
      </c>
      <c r="T108" t="s">
        <v>34</v>
      </c>
    </row>
    <row r="109" spans="1:20" x14ac:dyDescent="0.3">
      <c r="A109" t="s">
        <v>173</v>
      </c>
      <c r="B109" t="s">
        <v>45</v>
      </c>
      <c r="C109" t="s">
        <v>36</v>
      </c>
      <c r="D109" t="s">
        <v>90</v>
      </c>
      <c r="E109" t="s">
        <v>29</v>
      </c>
      <c r="F109">
        <v>30</v>
      </c>
      <c r="G109">
        <v>904.95</v>
      </c>
      <c r="H109" t="s">
        <v>30</v>
      </c>
      <c r="I109" t="s">
        <v>31</v>
      </c>
      <c r="J109" s="1">
        <v>45885</v>
      </c>
      <c r="K109" s="1">
        <f>DATE(YEAR(subscriptions[[#This Row],[signup_date]]),MONTH(subscriptions[[#This Row],[signup_date]]),1)</f>
        <v>45870</v>
      </c>
      <c r="L109" t="s">
        <v>34</v>
      </c>
      <c r="M109" s="1"/>
      <c r="N109" s="1" t="str">
        <f>IF(subscriptions[[#This Row],[churn_date]]="","",DATE(YEAR(subscriptions[[#This Row],[churn_date]]),MONTH(subscriptions[[#This Row],[churn_date]]),1))</f>
        <v/>
      </c>
      <c r="O109" t="s">
        <v>38</v>
      </c>
      <c r="P109">
        <v>11</v>
      </c>
      <c r="Q109">
        <v>5</v>
      </c>
      <c r="R109">
        <v>48</v>
      </c>
      <c r="S109" t="str">
        <f t="shared" si="1"/>
        <v>Moderate Usage</v>
      </c>
      <c r="T109" t="s">
        <v>34</v>
      </c>
    </row>
    <row r="110" spans="1:20" x14ac:dyDescent="0.3">
      <c r="A110" t="s">
        <v>174</v>
      </c>
      <c r="B110" t="s">
        <v>45</v>
      </c>
      <c r="C110" t="s">
        <v>36</v>
      </c>
      <c r="D110" t="s">
        <v>41</v>
      </c>
      <c r="E110" t="s">
        <v>29</v>
      </c>
      <c r="F110">
        <v>16</v>
      </c>
      <c r="G110">
        <v>549.74</v>
      </c>
      <c r="H110" t="s">
        <v>30</v>
      </c>
      <c r="I110" t="s">
        <v>66</v>
      </c>
      <c r="J110" s="1">
        <v>44868</v>
      </c>
      <c r="K110" s="1">
        <f>DATE(YEAR(subscriptions[[#This Row],[signup_date]]),MONTH(subscriptions[[#This Row],[signup_date]]),1)</f>
        <v>44866</v>
      </c>
      <c r="L110" t="s">
        <v>34</v>
      </c>
      <c r="M110" s="1"/>
      <c r="N110" s="1" t="str">
        <f>IF(subscriptions[[#This Row],[churn_date]]="","",DATE(YEAR(subscriptions[[#This Row],[churn_date]]),MONTH(subscriptions[[#This Row],[churn_date]]),1))</f>
        <v/>
      </c>
      <c r="O110" t="s">
        <v>38</v>
      </c>
      <c r="P110">
        <v>0</v>
      </c>
      <c r="Q110">
        <v>9</v>
      </c>
      <c r="R110">
        <v>57</v>
      </c>
      <c r="S110" t="str">
        <f t="shared" si="1"/>
        <v>High Usage</v>
      </c>
      <c r="T110" t="s">
        <v>34</v>
      </c>
    </row>
    <row r="111" spans="1:20" x14ac:dyDescent="0.3">
      <c r="A111" t="s">
        <v>175</v>
      </c>
      <c r="B111" t="s">
        <v>26</v>
      </c>
      <c r="C111" t="s">
        <v>36</v>
      </c>
      <c r="D111" t="s">
        <v>28</v>
      </c>
      <c r="E111" t="s">
        <v>56</v>
      </c>
      <c r="F111">
        <v>58</v>
      </c>
      <c r="G111">
        <v>641.28</v>
      </c>
      <c r="H111" t="s">
        <v>54</v>
      </c>
      <c r="I111" t="s">
        <v>48</v>
      </c>
      <c r="J111" s="1">
        <v>45201</v>
      </c>
      <c r="K111" s="1">
        <f>DATE(YEAR(subscriptions[[#This Row],[signup_date]]),MONTH(subscriptions[[#This Row],[signup_date]]),1)</f>
        <v>45200</v>
      </c>
      <c r="L111" t="s">
        <v>32</v>
      </c>
      <c r="M111" s="1">
        <v>45778</v>
      </c>
      <c r="N111" s="1">
        <f>IF(subscriptions[[#This Row],[churn_date]]="","",DATE(YEAR(subscriptions[[#This Row],[churn_date]]),MONTH(subscriptions[[#This Row],[churn_date]]),1))</f>
        <v>45778</v>
      </c>
      <c r="O111" t="s">
        <v>93</v>
      </c>
      <c r="P111">
        <v>12</v>
      </c>
      <c r="Q111">
        <v>3</v>
      </c>
      <c r="R111">
        <v>38</v>
      </c>
      <c r="S111" t="str">
        <f t="shared" si="1"/>
        <v>Moderate Usage</v>
      </c>
      <c r="T111" t="s">
        <v>34</v>
      </c>
    </row>
    <row r="112" spans="1:20" x14ac:dyDescent="0.3">
      <c r="A112" t="s">
        <v>176</v>
      </c>
      <c r="B112" t="s">
        <v>40</v>
      </c>
      <c r="C112" t="s">
        <v>36</v>
      </c>
      <c r="D112" t="s">
        <v>90</v>
      </c>
      <c r="E112" t="s">
        <v>47</v>
      </c>
      <c r="F112">
        <v>5</v>
      </c>
      <c r="G112">
        <v>39.44</v>
      </c>
      <c r="H112" t="s">
        <v>43</v>
      </c>
      <c r="I112" t="s">
        <v>48</v>
      </c>
      <c r="J112" s="1">
        <v>44917</v>
      </c>
      <c r="K112" s="1">
        <f>DATE(YEAR(subscriptions[[#This Row],[signup_date]]),MONTH(subscriptions[[#This Row],[signup_date]]),1)</f>
        <v>44896</v>
      </c>
      <c r="L112" t="s">
        <v>32</v>
      </c>
      <c r="M112" s="1">
        <v>45242</v>
      </c>
      <c r="N112" s="1">
        <f>IF(subscriptions[[#This Row],[churn_date]]="","",DATE(YEAR(subscriptions[[#This Row],[churn_date]]),MONTH(subscriptions[[#This Row],[churn_date]]),1))</f>
        <v>45231</v>
      </c>
      <c r="O112" t="s">
        <v>61</v>
      </c>
      <c r="P112">
        <v>15</v>
      </c>
      <c r="Q112">
        <v>5</v>
      </c>
      <c r="R112">
        <v>29</v>
      </c>
      <c r="S112" t="str">
        <f t="shared" si="1"/>
        <v>Moderate Usage</v>
      </c>
      <c r="T112" t="s">
        <v>34</v>
      </c>
    </row>
    <row r="113" spans="1:20" x14ac:dyDescent="0.3">
      <c r="A113" t="s">
        <v>177</v>
      </c>
      <c r="B113" t="s">
        <v>26</v>
      </c>
      <c r="C113" t="s">
        <v>27</v>
      </c>
      <c r="D113" t="s">
        <v>41</v>
      </c>
      <c r="E113" t="s">
        <v>56</v>
      </c>
      <c r="F113">
        <v>42</v>
      </c>
      <c r="G113">
        <v>564.85</v>
      </c>
      <c r="H113" t="s">
        <v>37</v>
      </c>
      <c r="I113" t="s">
        <v>31</v>
      </c>
      <c r="J113" s="1">
        <v>44588</v>
      </c>
      <c r="K113" s="1">
        <f>DATE(YEAR(subscriptions[[#This Row],[signup_date]]),MONTH(subscriptions[[#This Row],[signup_date]]),1)</f>
        <v>44562</v>
      </c>
      <c r="L113" t="s">
        <v>32</v>
      </c>
      <c r="M113" s="1">
        <v>44688</v>
      </c>
      <c r="N113" s="1">
        <f>IF(subscriptions[[#This Row],[churn_date]]="","",DATE(YEAR(subscriptions[[#This Row],[churn_date]]),MONTH(subscriptions[[#This Row],[churn_date]]),1))</f>
        <v>44682</v>
      </c>
      <c r="O113" t="s">
        <v>64</v>
      </c>
      <c r="P113">
        <v>7</v>
      </c>
      <c r="Q113">
        <v>2</v>
      </c>
      <c r="R113">
        <v>40</v>
      </c>
      <c r="S113" t="str">
        <f t="shared" si="1"/>
        <v>Moderate Usage</v>
      </c>
      <c r="T113" t="s">
        <v>34</v>
      </c>
    </row>
    <row r="114" spans="1:20" x14ac:dyDescent="0.3">
      <c r="A114" t="s">
        <v>178</v>
      </c>
      <c r="B114" t="s">
        <v>45</v>
      </c>
      <c r="C114" t="s">
        <v>27</v>
      </c>
      <c r="D114" t="s">
        <v>90</v>
      </c>
      <c r="E114" t="s">
        <v>47</v>
      </c>
      <c r="F114">
        <v>20</v>
      </c>
      <c r="G114">
        <v>766.15</v>
      </c>
      <c r="H114" t="s">
        <v>54</v>
      </c>
      <c r="I114" t="s">
        <v>31</v>
      </c>
      <c r="J114" s="1">
        <v>45087</v>
      </c>
      <c r="K114" s="1">
        <f>DATE(YEAR(subscriptions[[#This Row],[signup_date]]),MONTH(subscriptions[[#This Row],[signup_date]]),1)</f>
        <v>45078</v>
      </c>
      <c r="L114" t="s">
        <v>32</v>
      </c>
      <c r="M114" s="1">
        <v>45230</v>
      </c>
      <c r="N114" s="1">
        <f>IF(subscriptions[[#This Row],[churn_date]]="","",DATE(YEAR(subscriptions[[#This Row],[churn_date]]),MONTH(subscriptions[[#This Row],[churn_date]]),1))</f>
        <v>45200</v>
      </c>
      <c r="O114" t="s">
        <v>67</v>
      </c>
      <c r="P114">
        <v>3</v>
      </c>
      <c r="Q114">
        <v>4</v>
      </c>
      <c r="R114">
        <v>22</v>
      </c>
      <c r="S114" t="str">
        <f t="shared" si="1"/>
        <v>Moderate Usage</v>
      </c>
      <c r="T114" t="s">
        <v>34</v>
      </c>
    </row>
    <row r="115" spans="1:20" x14ac:dyDescent="0.3">
      <c r="A115" t="s">
        <v>179</v>
      </c>
      <c r="B115" t="s">
        <v>40</v>
      </c>
      <c r="C115" t="s">
        <v>27</v>
      </c>
      <c r="D115" t="s">
        <v>52</v>
      </c>
      <c r="E115" t="s">
        <v>42</v>
      </c>
      <c r="F115">
        <v>235</v>
      </c>
      <c r="G115">
        <v>1046.9000000000001</v>
      </c>
      <c r="H115" t="s">
        <v>54</v>
      </c>
      <c r="I115" t="s">
        <v>66</v>
      </c>
      <c r="J115" s="1">
        <v>44718</v>
      </c>
      <c r="K115" s="1">
        <f>DATE(YEAR(subscriptions[[#This Row],[signup_date]]),MONTH(subscriptions[[#This Row],[signup_date]]),1)</f>
        <v>44713</v>
      </c>
      <c r="L115" t="s">
        <v>32</v>
      </c>
      <c r="M115" s="1">
        <v>44731</v>
      </c>
      <c r="N115" s="1">
        <f>IF(subscriptions[[#This Row],[churn_date]]="","",DATE(YEAR(subscriptions[[#This Row],[churn_date]]),MONTH(subscriptions[[#This Row],[churn_date]]),1))</f>
        <v>44713</v>
      </c>
      <c r="O115" t="s">
        <v>67</v>
      </c>
      <c r="P115">
        <v>11</v>
      </c>
      <c r="Q115">
        <v>1</v>
      </c>
      <c r="R115">
        <v>23</v>
      </c>
      <c r="S115" t="str">
        <f t="shared" si="1"/>
        <v>Moderate Usage</v>
      </c>
      <c r="T115" t="s">
        <v>34</v>
      </c>
    </row>
    <row r="116" spans="1:20" x14ac:dyDescent="0.3">
      <c r="A116" t="s">
        <v>180</v>
      </c>
      <c r="B116" t="s">
        <v>40</v>
      </c>
      <c r="C116" t="s">
        <v>36</v>
      </c>
      <c r="D116" t="s">
        <v>79</v>
      </c>
      <c r="E116" t="s">
        <v>56</v>
      </c>
      <c r="F116">
        <v>31</v>
      </c>
      <c r="G116">
        <v>135.57</v>
      </c>
      <c r="H116" t="s">
        <v>30</v>
      </c>
      <c r="I116" t="s">
        <v>80</v>
      </c>
      <c r="J116" s="1">
        <v>45532</v>
      </c>
      <c r="K116" s="1">
        <f>DATE(YEAR(subscriptions[[#This Row],[signup_date]]),MONTH(subscriptions[[#This Row],[signup_date]]),1)</f>
        <v>45505</v>
      </c>
      <c r="L116" t="s">
        <v>34</v>
      </c>
      <c r="M116" s="1"/>
      <c r="N116" s="1" t="str">
        <f>IF(subscriptions[[#This Row],[churn_date]]="","",DATE(YEAR(subscriptions[[#This Row],[churn_date]]),MONTH(subscriptions[[#This Row],[churn_date]]),1))</f>
        <v/>
      </c>
      <c r="O116" t="s">
        <v>38</v>
      </c>
      <c r="P116">
        <v>0</v>
      </c>
      <c r="Q116">
        <v>5</v>
      </c>
      <c r="R116">
        <v>75</v>
      </c>
      <c r="S116" t="str">
        <f t="shared" si="1"/>
        <v>High Usage</v>
      </c>
      <c r="T116" t="s">
        <v>34</v>
      </c>
    </row>
    <row r="117" spans="1:20" x14ac:dyDescent="0.3">
      <c r="A117" t="s">
        <v>181</v>
      </c>
      <c r="B117" t="s">
        <v>26</v>
      </c>
      <c r="C117" t="s">
        <v>27</v>
      </c>
      <c r="D117" t="s">
        <v>52</v>
      </c>
      <c r="E117" t="s">
        <v>29</v>
      </c>
      <c r="F117">
        <v>16</v>
      </c>
      <c r="G117">
        <v>256.75</v>
      </c>
      <c r="H117" t="s">
        <v>30</v>
      </c>
      <c r="I117" t="s">
        <v>31</v>
      </c>
      <c r="J117" s="1">
        <v>45903</v>
      </c>
      <c r="K117" s="1">
        <f>DATE(YEAR(subscriptions[[#This Row],[signup_date]]),MONTH(subscriptions[[#This Row],[signup_date]]),1)</f>
        <v>45901</v>
      </c>
      <c r="L117" t="s">
        <v>34</v>
      </c>
      <c r="M117" s="1"/>
      <c r="N117" s="1" t="str">
        <f>IF(subscriptions[[#This Row],[churn_date]]="","",DATE(YEAR(subscriptions[[#This Row],[churn_date]]),MONTH(subscriptions[[#This Row],[churn_date]]),1))</f>
        <v/>
      </c>
      <c r="O117" t="s">
        <v>38</v>
      </c>
      <c r="P117">
        <v>0</v>
      </c>
      <c r="Q117">
        <v>2</v>
      </c>
      <c r="R117">
        <v>25</v>
      </c>
      <c r="S117" t="str">
        <f t="shared" si="1"/>
        <v>Moderate Usage</v>
      </c>
      <c r="T117" t="s">
        <v>34</v>
      </c>
    </row>
    <row r="118" spans="1:20" x14ac:dyDescent="0.3">
      <c r="A118" t="s">
        <v>182</v>
      </c>
      <c r="B118" t="s">
        <v>26</v>
      </c>
      <c r="C118" t="s">
        <v>36</v>
      </c>
      <c r="D118" t="s">
        <v>60</v>
      </c>
      <c r="E118" t="s">
        <v>29</v>
      </c>
      <c r="F118">
        <v>25</v>
      </c>
      <c r="G118">
        <v>308.89</v>
      </c>
      <c r="H118" t="s">
        <v>71</v>
      </c>
      <c r="I118" t="s">
        <v>66</v>
      </c>
      <c r="J118" s="1">
        <v>45364</v>
      </c>
      <c r="K118" s="1">
        <f>DATE(YEAR(subscriptions[[#This Row],[signup_date]]),MONTH(subscriptions[[#This Row],[signup_date]]),1)</f>
        <v>45352</v>
      </c>
      <c r="L118" t="s">
        <v>32</v>
      </c>
      <c r="M118" s="1">
        <v>45822</v>
      </c>
      <c r="N118" s="1">
        <f>IF(subscriptions[[#This Row],[churn_date]]="","",DATE(YEAR(subscriptions[[#This Row],[churn_date]]),MONTH(subscriptions[[#This Row],[churn_date]]),1))</f>
        <v>45809</v>
      </c>
      <c r="O118" t="s">
        <v>64</v>
      </c>
      <c r="P118">
        <v>0</v>
      </c>
      <c r="Q118">
        <v>2</v>
      </c>
      <c r="R118">
        <v>28</v>
      </c>
      <c r="S118" t="str">
        <f t="shared" si="1"/>
        <v>Moderate Usage</v>
      </c>
      <c r="T118" t="s">
        <v>34</v>
      </c>
    </row>
    <row r="119" spans="1:20" x14ac:dyDescent="0.3">
      <c r="A119" t="s">
        <v>183</v>
      </c>
      <c r="B119" t="s">
        <v>26</v>
      </c>
      <c r="C119" t="s">
        <v>27</v>
      </c>
      <c r="D119" t="s">
        <v>50</v>
      </c>
      <c r="E119" t="s">
        <v>47</v>
      </c>
      <c r="F119">
        <v>17</v>
      </c>
      <c r="G119">
        <v>268.60000000000002</v>
      </c>
      <c r="H119" t="s">
        <v>43</v>
      </c>
      <c r="I119" t="s">
        <v>48</v>
      </c>
      <c r="J119" s="1">
        <v>45657</v>
      </c>
      <c r="K119" s="1">
        <f>DATE(YEAR(subscriptions[[#This Row],[signup_date]]),MONTH(subscriptions[[#This Row],[signup_date]]),1)</f>
        <v>45627</v>
      </c>
      <c r="L119" t="s">
        <v>32</v>
      </c>
      <c r="M119" s="1">
        <v>45730</v>
      </c>
      <c r="N119" s="1">
        <f>IF(subscriptions[[#This Row],[churn_date]]="","",DATE(YEAR(subscriptions[[#This Row],[churn_date]]),MONTH(subscriptions[[#This Row],[churn_date]]),1))</f>
        <v>45717</v>
      </c>
      <c r="O119" t="s">
        <v>74</v>
      </c>
      <c r="P119">
        <v>0</v>
      </c>
      <c r="Q119">
        <v>5</v>
      </c>
      <c r="R119">
        <v>25</v>
      </c>
      <c r="S119" t="str">
        <f t="shared" si="1"/>
        <v>Moderate Usage</v>
      </c>
      <c r="T119" t="s">
        <v>34</v>
      </c>
    </row>
    <row r="120" spans="1:20" x14ac:dyDescent="0.3">
      <c r="A120" t="s">
        <v>184</v>
      </c>
      <c r="B120" t="s">
        <v>26</v>
      </c>
      <c r="C120" t="s">
        <v>27</v>
      </c>
      <c r="D120" t="s">
        <v>73</v>
      </c>
      <c r="E120" t="s">
        <v>47</v>
      </c>
      <c r="F120">
        <v>28</v>
      </c>
      <c r="G120">
        <v>398.95</v>
      </c>
      <c r="H120" t="s">
        <v>30</v>
      </c>
      <c r="I120" t="s">
        <v>31</v>
      </c>
      <c r="J120" s="1">
        <v>44866</v>
      </c>
      <c r="K120" s="1">
        <f>DATE(YEAR(subscriptions[[#This Row],[signup_date]]),MONTH(subscriptions[[#This Row],[signup_date]]),1)</f>
        <v>44866</v>
      </c>
      <c r="L120" t="s">
        <v>34</v>
      </c>
      <c r="M120" s="1"/>
      <c r="N120" s="1" t="str">
        <f>IF(subscriptions[[#This Row],[churn_date]]="","",DATE(YEAR(subscriptions[[#This Row],[churn_date]]),MONTH(subscriptions[[#This Row],[churn_date]]),1))</f>
        <v/>
      </c>
      <c r="O120" t="s">
        <v>38</v>
      </c>
      <c r="P120">
        <v>9</v>
      </c>
      <c r="Q120">
        <v>8</v>
      </c>
      <c r="R120">
        <v>44</v>
      </c>
      <c r="S120" t="str">
        <f t="shared" si="1"/>
        <v>Moderate Usage</v>
      </c>
      <c r="T120" t="s">
        <v>34</v>
      </c>
    </row>
    <row r="121" spans="1:20" x14ac:dyDescent="0.3">
      <c r="A121" t="s">
        <v>185</v>
      </c>
      <c r="B121" t="s">
        <v>26</v>
      </c>
      <c r="C121" t="s">
        <v>36</v>
      </c>
      <c r="D121" t="s">
        <v>41</v>
      </c>
      <c r="E121" t="s">
        <v>53</v>
      </c>
      <c r="F121">
        <v>2</v>
      </c>
      <c r="G121">
        <v>77.22</v>
      </c>
      <c r="H121" t="s">
        <v>43</v>
      </c>
      <c r="I121" t="s">
        <v>31</v>
      </c>
      <c r="J121" s="1">
        <v>44646</v>
      </c>
      <c r="K121" s="1">
        <f>DATE(YEAR(subscriptions[[#This Row],[signup_date]]),MONTH(subscriptions[[#This Row],[signup_date]]),1)</f>
        <v>44621</v>
      </c>
      <c r="L121" t="s">
        <v>34</v>
      </c>
      <c r="M121" s="1"/>
      <c r="N121" s="1" t="str">
        <f>IF(subscriptions[[#This Row],[churn_date]]="","",DATE(YEAR(subscriptions[[#This Row],[churn_date]]),MONTH(subscriptions[[#This Row],[churn_date]]),1))</f>
        <v/>
      </c>
      <c r="O121" t="s">
        <v>38</v>
      </c>
      <c r="P121">
        <v>3</v>
      </c>
      <c r="Q121">
        <v>4</v>
      </c>
      <c r="R121">
        <v>22</v>
      </c>
      <c r="S121" t="str">
        <f t="shared" si="1"/>
        <v>Moderate Usage</v>
      </c>
      <c r="T121" t="s">
        <v>34</v>
      </c>
    </row>
    <row r="122" spans="1:20" x14ac:dyDescent="0.3">
      <c r="A122" t="s">
        <v>186</v>
      </c>
      <c r="B122" t="s">
        <v>40</v>
      </c>
      <c r="C122" t="s">
        <v>36</v>
      </c>
      <c r="D122" t="s">
        <v>60</v>
      </c>
      <c r="E122" t="s">
        <v>47</v>
      </c>
      <c r="F122">
        <v>32</v>
      </c>
      <c r="G122">
        <v>139.27000000000001</v>
      </c>
      <c r="H122" t="s">
        <v>30</v>
      </c>
      <c r="I122" t="s">
        <v>31</v>
      </c>
      <c r="J122" s="1">
        <v>45856</v>
      </c>
      <c r="K122" s="1">
        <f>DATE(YEAR(subscriptions[[#This Row],[signup_date]]),MONTH(subscriptions[[#This Row],[signup_date]]),1)</f>
        <v>45839</v>
      </c>
      <c r="L122" t="s">
        <v>34</v>
      </c>
      <c r="M122" s="1"/>
      <c r="N122" s="1" t="str">
        <f>IF(subscriptions[[#This Row],[churn_date]]="","",DATE(YEAR(subscriptions[[#This Row],[churn_date]]),MONTH(subscriptions[[#This Row],[churn_date]]),1))</f>
        <v/>
      </c>
      <c r="O122" t="s">
        <v>38</v>
      </c>
      <c r="P122">
        <v>6</v>
      </c>
      <c r="Q122">
        <v>2</v>
      </c>
      <c r="R122">
        <v>81</v>
      </c>
      <c r="S122" t="str">
        <f t="shared" si="1"/>
        <v>Very High Usage</v>
      </c>
      <c r="T122" t="s">
        <v>34</v>
      </c>
    </row>
    <row r="123" spans="1:20" x14ac:dyDescent="0.3">
      <c r="A123" t="s">
        <v>187</v>
      </c>
      <c r="B123" t="s">
        <v>45</v>
      </c>
      <c r="C123" t="s">
        <v>27</v>
      </c>
      <c r="D123" t="s">
        <v>50</v>
      </c>
      <c r="E123" t="s">
        <v>29</v>
      </c>
      <c r="F123">
        <v>72</v>
      </c>
      <c r="G123">
        <v>2318.35</v>
      </c>
      <c r="H123" t="s">
        <v>71</v>
      </c>
      <c r="I123" t="s">
        <v>31</v>
      </c>
      <c r="J123" s="1">
        <v>45480</v>
      </c>
      <c r="K123" s="1">
        <f>DATE(YEAR(subscriptions[[#This Row],[signup_date]]),MONTH(subscriptions[[#This Row],[signup_date]]),1)</f>
        <v>45474</v>
      </c>
      <c r="L123" t="s">
        <v>34</v>
      </c>
      <c r="M123" s="1"/>
      <c r="N123" s="1" t="str">
        <f>IF(subscriptions[[#This Row],[churn_date]]="","",DATE(YEAR(subscriptions[[#This Row],[churn_date]]),MONTH(subscriptions[[#This Row],[churn_date]]),1))</f>
        <v/>
      </c>
      <c r="O123" t="s">
        <v>38</v>
      </c>
      <c r="P123">
        <v>4</v>
      </c>
      <c r="Q123">
        <v>7</v>
      </c>
      <c r="R123">
        <v>50</v>
      </c>
      <c r="S123" t="str">
        <f t="shared" si="1"/>
        <v>Moderate Usage</v>
      </c>
      <c r="T123" t="s">
        <v>32</v>
      </c>
    </row>
    <row r="124" spans="1:20" x14ac:dyDescent="0.3">
      <c r="A124" t="s">
        <v>188</v>
      </c>
      <c r="B124" t="s">
        <v>40</v>
      </c>
      <c r="C124" t="s">
        <v>36</v>
      </c>
      <c r="D124" t="s">
        <v>63</v>
      </c>
      <c r="E124" t="s">
        <v>29</v>
      </c>
      <c r="F124">
        <v>26</v>
      </c>
      <c r="G124">
        <v>117.09</v>
      </c>
      <c r="H124" t="s">
        <v>30</v>
      </c>
      <c r="I124" t="s">
        <v>66</v>
      </c>
      <c r="J124" s="1">
        <v>45486</v>
      </c>
      <c r="K124" s="1">
        <f>DATE(YEAR(subscriptions[[#This Row],[signup_date]]),MONTH(subscriptions[[#This Row],[signup_date]]),1)</f>
        <v>45474</v>
      </c>
      <c r="L124" t="s">
        <v>34</v>
      </c>
      <c r="M124" s="1"/>
      <c r="N124" s="1" t="str">
        <f>IF(subscriptions[[#This Row],[churn_date]]="","",DATE(YEAR(subscriptions[[#This Row],[churn_date]]),MONTH(subscriptions[[#This Row],[churn_date]]),1))</f>
        <v/>
      </c>
      <c r="O124" t="s">
        <v>38</v>
      </c>
      <c r="P124">
        <v>4</v>
      </c>
      <c r="Q124">
        <v>4</v>
      </c>
      <c r="R124">
        <v>48</v>
      </c>
      <c r="S124" t="str">
        <f t="shared" si="1"/>
        <v>Moderate Usage</v>
      </c>
      <c r="T124" t="s">
        <v>34</v>
      </c>
    </row>
    <row r="125" spans="1:20" x14ac:dyDescent="0.3">
      <c r="A125" t="s">
        <v>189</v>
      </c>
      <c r="B125" t="s">
        <v>26</v>
      </c>
      <c r="C125" t="s">
        <v>27</v>
      </c>
      <c r="D125" t="s">
        <v>79</v>
      </c>
      <c r="E125" t="s">
        <v>29</v>
      </c>
      <c r="F125">
        <v>71</v>
      </c>
      <c r="G125">
        <v>908.5</v>
      </c>
      <c r="H125" t="s">
        <v>54</v>
      </c>
      <c r="I125" t="s">
        <v>31</v>
      </c>
      <c r="J125" s="1">
        <v>44910</v>
      </c>
      <c r="K125" s="1">
        <f>DATE(YEAR(subscriptions[[#This Row],[signup_date]]),MONTH(subscriptions[[#This Row],[signup_date]]),1)</f>
        <v>44896</v>
      </c>
      <c r="L125" t="s">
        <v>34</v>
      </c>
      <c r="M125" s="1"/>
      <c r="N125" s="1" t="str">
        <f>IF(subscriptions[[#This Row],[churn_date]]="","",DATE(YEAR(subscriptions[[#This Row],[churn_date]]),MONTH(subscriptions[[#This Row],[churn_date]]),1))</f>
        <v/>
      </c>
      <c r="O125" t="s">
        <v>38</v>
      </c>
      <c r="P125">
        <v>2</v>
      </c>
      <c r="Q125">
        <v>5</v>
      </c>
      <c r="R125">
        <v>31</v>
      </c>
      <c r="S125" t="str">
        <f t="shared" si="1"/>
        <v>Moderate Usage</v>
      </c>
      <c r="T125" t="s">
        <v>34</v>
      </c>
    </row>
    <row r="126" spans="1:20" x14ac:dyDescent="0.3">
      <c r="A126" t="s">
        <v>190</v>
      </c>
      <c r="B126" t="s">
        <v>45</v>
      </c>
      <c r="C126" t="s">
        <v>36</v>
      </c>
      <c r="D126" t="s">
        <v>79</v>
      </c>
      <c r="E126" t="s">
        <v>53</v>
      </c>
      <c r="F126">
        <v>4</v>
      </c>
      <c r="G126">
        <v>245.27</v>
      </c>
      <c r="H126" t="s">
        <v>71</v>
      </c>
      <c r="I126" t="s">
        <v>48</v>
      </c>
      <c r="J126" s="1">
        <v>45728</v>
      </c>
      <c r="K126" s="1">
        <f>DATE(YEAR(subscriptions[[#This Row],[signup_date]]),MONTH(subscriptions[[#This Row],[signup_date]]),1)</f>
        <v>45717</v>
      </c>
      <c r="L126" t="s">
        <v>34</v>
      </c>
      <c r="M126" s="1"/>
      <c r="N126" s="1" t="str">
        <f>IF(subscriptions[[#This Row],[churn_date]]="","",DATE(YEAR(subscriptions[[#This Row],[churn_date]]),MONTH(subscriptions[[#This Row],[churn_date]]),1))</f>
        <v/>
      </c>
      <c r="O126" t="s">
        <v>38</v>
      </c>
      <c r="P126">
        <v>11</v>
      </c>
      <c r="Q126">
        <v>6</v>
      </c>
      <c r="R126">
        <v>36</v>
      </c>
      <c r="S126" t="str">
        <f t="shared" si="1"/>
        <v>Moderate Usage</v>
      </c>
      <c r="T126" t="s">
        <v>32</v>
      </c>
    </row>
    <row r="127" spans="1:20" x14ac:dyDescent="0.3">
      <c r="A127" t="s">
        <v>191</v>
      </c>
      <c r="B127" t="s">
        <v>26</v>
      </c>
      <c r="C127" t="s">
        <v>27</v>
      </c>
      <c r="D127" t="s">
        <v>63</v>
      </c>
      <c r="E127" t="s">
        <v>47</v>
      </c>
      <c r="F127">
        <v>20</v>
      </c>
      <c r="G127">
        <v>304.14999999999998</v>
      </c>
      <c r="H127" t="s">
        <v>30</v>
      </c>
      <c r="I127" t="s">
        <v>31</v>
      </c>
      <c r="J127" s="1">
        <v>45091</v>
      </c>
      <c r="K127" s="1">
        <f>DATE(YEAR(subscriptions[[#This Row],[signup_date]]),MONTH(subscriptions[[#This Row],[signup_date]]),1)</f>
        <v>45078</v>
      </c>
      <c r="L127" t="s">
        <v>34</v>
      </c>
      <c r="M127" s="1"/>
      <c r="N127" s="1" t="str">
        <f>IF(subscriptions[[#This Row],[churn_date]]="","",DATE(YEAR(subscriptions[[#This Row],[churn_date]]),MONTH(subscriptions[[#This Row],[churn_date]]),1))</f>
        <v/>
      </c>
      <c r="O127" t="s">
        <v>38</v>
      </c>
      <c r="P127">
        <v>1</v>
      </c>
      <c r="Q127">
        <v>5</v>
      </c>
      <c r="R127">
        <v>40</v>
      </c>
      <c r="S127" t="str">
        <f t="shared" si="1"/>
        <v>Moderate Usage</v>
      </c>
      <c r="T127" t="s">
        <v>32</v>
      </c>
    </row>
    <row r="128" spans="1:20" x14ac:dyDescent="0.3">
      <c r="A128" t="s">
        <v>192</v>
      </c>
      <c r="B128" t="s">
        <v>40</v>
      </c>
      <c r="C128" t="s">
        <v>27</v>
      </c>
      <c r="D128" t="s">
        <v>90</v>
      </c>
      <c r="E128" t="s">
        <v>47</v>
      </c>
      <c r="F128">
        <v>27</v>
      </c>
      <c r="G128">
        <v>142.1</v>
      </c>
      <c r="H128" t="s">
        <v>71</v>
      </c>
      <c r="I128" t="s">
        <v>31</v>
      </c>
      <c r="J128" s="1">
        <v>45636</v>
      </c>
      <c r="K128" s="1">
        <f>DATE(YEAR(subscriptions[[#This Row],[signup_date]]),MONTH(subscriptions[[#This Row],[signup_date]]),1)</f>
        <v>45627</v>
      </c>
      <c r="L128" t="s">
        <v>32</v>
      </c>
      <c r="M128" s="1">
        <v>45672</v>
      </c>
      <c r="N128" s="1">
        <f>IF(subscriptions[[#This Row],[churn_date]]="","",DATE(YEAR(subscriptions[[#This Row],[churn_date]]),MONTH(subscriptions[[#This Row],[churn_date]]),1))</f>
        <v>45658</v>
      </c>
      <c r="O128" t="s">
        <v>67</v>
      </c>
      <c r="P128">
        <v>3</v>
      </c>
      <c r="Q128">
        <v>3</v>
      </c>
      <c r="R128">
        <v>38</v>
      </c>
      <c r="S128" t="str">
        <f t="shared" si="1"/>
        <v>Moderate Usage</v>
      </c>
      <c r="T128" t="s">
        <v>34</v>
      </c>
    </row>
    <row r="129" spans="1:20" x14ac:dyDescent="0.3">
      <c r="A129" t="s">
        <v>193</v>
      </c>
      <c r="B129" t="s">
        <v>40</v>
      </c>
      <c r="C129" t="s">
        <v>27</v>
      </c>
      <c r="D129" t="s">
        <v>28</v>
      </c>
      <c r="E129" t="s">
        <v>56</v>
      </c>
      <c r="F129">
        <v>46</v>
      </c>
      <c r="G129">
        <v>224.75</v>
      </c>
      <c r="H129" t="s">
        <v>71</v>
      </c>
      <c r="I129" t="s">
        <v>66</v>
      </c>
      <c r="J129" s="1">
        <v>44925</v>
      </c>
      <c r="K129" s="1">
        <f>DATE(YEAR(subscriptions[[#This Row],[signup_date]]),MONTH(subscriptions[[#This Row],[signup_date]]),1)</f>
        <v>44896</v>
      </c>
      <c r="L129" t="s">
        <v>32</v>
      </c>
      <c r="M129" s="1">
        <v>45040</v>
      </c>
      <c r="N129" s="1">
        <f>IF(subscriptions[[#This Row],[churn_date]]="","",DATE(YEAR(subscriptions[[#This Row],[churn_date]]),MONTH(subscriptions[[#This Row],[churn_date]]),1))</f>
        <v>45017</v>
      </c>
      <c r="O129" t="s">
        <v>74</v>
      </c>
      <c r="P129">
        <v>10</v>
      </c>
      <c r="Q129">
        <v>2</v>
      </c>
      <c r="R129">
        <v>33</v>
      </c>
      <c r="S129" t="str">
        <f t="shared" si="1"/>
        <v>Moderate Usage</v>
      </c>
      <c r="T129" t="s">
        <v>34</v>
      </c>
    </row>
    <row r="130" spans="1:20" x14ac:dyDescent="0.3">
      <c r="A130" t="s">
        <v>194</v>
      </c>
      <c r="B130" t="s">
        <v>40</v>
      </c>
      <c r="C130" t="s">
        <v>27</v>
      </c>
      <c r="D130" t="s">
        <v>41</v>
      </c>
      <c r="E130" t="s">
        <v>29</v>
      </c>
      <c r="F130">
        <v>31</v>
      </c>
      <c r="G130">
        <v>159.5</v>
      </c>
      <c r="H130" t="s">
        <v>54</v>
      </c>
      <c r="I130" t="s">
        <v>31</v>
      </c>
      <c r="J130" s="1">
        <v>44797</v>
      </c>
      <c r="K130" s="1">
        <f>DATE(YEAR(subscriptions[[#This Row],[signup_date]]),MONTH(subscriptions[[#This Row],[signup_date]]),1)</f>
        <v>44774</v>
      </c>
      <c r="L130" t="s">
        <v>32</v>
      </c>
      <c r="M130" s="1">
        <v>44831</v>
      </c>
      <c r="N130" s="1">
        <f>IF(subscriptions[[#This Row],[churn_date]]="","",DATE(YEAR(subscriptions[[#This Row],[churn_date]]),MONTH(subscriptions[[#This Row],[churn_date]]),1))</f>
        <v>44805</v>
      </c>
      <c r="O130" t="s">
        <v>93</v>
      </c>
      <c r="P130">
        <v>10</v>
      </c>
      <c r="Q130">
        <v>4</v>
      </c>
      <c r="R130">
        <v>22</v>
      </c>
      <c r="S130" t="str">
        <f t="shared" ref="S130:S193" si="2">IF(R130&lt;=20,"Very Low Usage",
IF(R130&lt;=50,"Moderate Usage",
IF(R130&lt;=80,"High Usage",
"Very High Usage")))</f>
        <v>Moderate Usage</v>
      </c>
      <c r="T130" t="s">
        <v>34</v>
      </c>
    </row>
    <row r="131" spans="1:20" x14ac:dyDescent="0.3">
      <c r="A131" t="s">
        <v>195</v>
      </c>
      <c r="B131" t="s">
        <v>26</v>
      </c>
      <c r="C131" t="s">
        <v>27</v>
      </c>
      <c r="D131" t="s">
        <v>50</v>
      </c>
      <c r="E131" t="s">
        <v>53</v>
      </c>
      <c r="F131">
        <v>8</v>
      </c>
      <c r="G131">
        <v>161.94999999999999</v>
      </c>
      <c r="H131" t="s">
        <v>30</v>
      </c>
      <c r="I131" t="s">
        <v>80</v>
      </c>
      <c r="J131" s="1">
        <v>45842</v>
      </c>
      <c r="K131" s="1">
        <f>DATE(YEAR(subscriptions[[#This Row],[signup_date]]),MONTH(subscriptions[[#This Row],[signup_date]]),1)</f>
        <v>45839</v>
      </c>
      <c r="L131" t="s">
        <v>34</v>
      </c>
      <c r="M131" s="1"/>
      <c r="N131" s="1" t="str">
        <f>IF(subscriptions[[#This Row],[churn_date]]="","",DATE(YEAR(subscriptions[[#This Row],[churn_date]]),MONTH(subscriptions[[#This Row],[churn_date]]),1))</f>
        <v/>
      </c>
      <c r="O131" t="s">
        <v>38</v>
      </c>
      <c r="P131">
        <v>6</v>
      </c>
      <c r="Q131">
        <v>1</v>
      </c>
      <c r="R131">
        <v>68</v>
      </c>
      <c r="S131" t="str">
        <f t="shared" si="2"/>
        <v>High Usage</v>
      </c>
      <c r="T131" t="s">
        <v>34</v>
      </c>
    </row>
    <row r="132" spans="1:20" x14ac:dyDescent="0.3">
      <c r="A132" t="s">
        <v>196</v>
      </c>
      <c r="B132" t="s">
        <v>45</v>
      </c>
      <c r="C132" t="s">
        <v>36</v>
      </c>
      <c r="D132" t="s">
        <v>79</v>
      </c>
      <c r="E132" t="s">
        <v>47</v>
      </c>
      <c r="F132">
        <v>6</v>
      </c>
      <c r="G132">
        <v>296.01</v>
      </c>
      <c r="H132" t="s">
        <v>43</v>
      </c>
      <c r="I132" t="s">
        <v>80</v>
      </c>
      <c r="J132" s="1">
        <v>45659</v>
      </c>
      <c r="K132" s="1">
        <f>DATE(YEAR(subscriptions[[#This Row],[signup_date]]),MONTH(subscriptions[[#This Row],[signup_date]]),1)</f>
        <v>45658</v>
      </c>
      <c r="L132" t="s">
        <v>34</v>
      </c>
      <c r="M132" s="1"/>
      <c r="N132" s="1" t="str">
        <f>IF(subscriptions[[#This Row],[churn_date]]="","",DATE(YEAR(subscriptions[[#This Row],[churn_date]]),MONTH(subscriptions[[#This Row],[churn_date]]),1))</f>
        <v/>
      </c>
      <c r="O132" t="s">
        <v>38</v>
      </c>
      <c r="P132">
        <v>11</v>
      </c>
      <c r="Q132">
        <v>9</v>
      </c>
      <c r="R132">
        <v>36</v>
      </c>
      <c r="S132" t="str">
        <f t="shared" si="2"/>
        <v>Moderate Usage</v>
      </c>
      <c r="T132" t="s">
        <v>34</v>
      </c>
    </row>
    <row r="133" spans="1:20" x14ac:dyDescent="0.3">
      <c r="A133" t="s">
        <v>197</v>
      </c>
      <c r="B133" t="s">
        <v>40</v>
      </c>
      <c r="C133" t="s">
        <v>36</v>
      </c>
      <c r="D133" t="s">
        <v>90</v>
      </c>
      <c r="E133" t="s">
        <v>53</v>
      </c>
      <c r="F133">
        <v>8</v>
      </c>
      <c r="G133">
        <v>50.53</v>
      </c>
      <c r="H133" t="s">
        <v>109</v>
      </c>
      <c r="I133" t="s">
        <v>31</v>
      </c>
      <c r="J133" s="1">
        <v>45950</v>
      </c>
      <c r="K133" s="1">
        <f>DATE(YEAR(subscriptions[[#This Row],[signup_date]]),MONTH(subscriptions[[#This Row],[signup_date]]),1)</f>
        <v>45931</v>
      </c>
      <c r="L133" t="s">
        <v>34</v>
      </c>
      <c r="M133" s="1"/>
      <c r="N133" s="1" t="str">
        <f>IF(subscriptions[[#This Row],[churn_date]]="","",DATE(YEAR(subscriptions[[#This Row],[churn_date]]),MONTH(subscriptions[[#This Row],[churn_date]]),1))</f>
        <v/>
      </c>
      <c r="O133" t="s">
        <v>38</v>
      </c>
      <c r="P133">
        <v>7</v>
      </c>
      <c r="Q133">
        <v>3</v>
      </c>
      <c r="R133">
        <v>90</v>
      </c>
      <c r="S133" t="str">
        <f t="shared" si="2"/>
        <v>Very High Usage</v>
      </c>
      <c r="T133" t="s">
        <v>34</v>
      </c>
    </row>
    <row r="134" spans="1:20" x14ac:dyDescent="0.3">
      <c r="A134" t="s">
        <v>198</v>
      </c>
      <c r="B134" t="s">
        <v>82</v>
      </c>
      <c r="C134" t="s">
        <v>27</v>
      </c>
      <c r="D134" t="s">
        <v>90</v>
      </c>
      <c r="E134" t="s">
        <v>53</v>
      </c>
      <c r="F134">
        <v>1</v>
      </c>
      <c r="G134">
        <v>499</v>
      </c>
      <c r="H134" t="s">
        <v>54</v>
      </c>
      <c r="I134" t="s">
        <v>31</v>
      </c>
      <c r="J134" s="1">
        <v>45727</v>
      </c>
      <c r="K134" s="1">
        <f>DATE(YEAR(subscriptions[[#This Row],[signup_date]]),MONTH(subscriptions[[#This Row],[signup_date]]),1)</f>
        <v>45717</v>
      </c>
      <c r="L134" t="s">
        <v>34</v>
      </c>
      <c r="M134" s="1"/>
      <c r="N134" s="1" t="str">
        <f>IF(subscriptions[[#This Row],[churn_date]]="","",DATE(YEAR(subscriptions[[#This Row],[churn_date]]),MONTH(subscriptions[[#This Row],[churn_date]]),1))</f>
        <v/>
      </c>
      <c r="O134" t="s">
        <v>38</v>
      </c>
      <c r="P134">
        <v>7</v>
      </c>
      <c r="Q134">
        <v>8</v>
      </c>
      <c r="R134">
        <v>22</v>
      </c>
      <c r="S134" t="str">
        <f t="shared" si="2"/>
        <v>Moderate Usage</v>
      </c>
      <c r="T134" t="s">
        <v>34</v>
      </c>
    </row>
    <row r="135" spans="1:20" x14ac:dyDescent="0.3">
      <c r="A135" t="s">
        <v>199</v>
      </c>
      <c r="B135" t="s">
        <v>45</v>
      </c>
      <c r="C135" t="s">
        <v>36</v>
      </c>
      <c r="D135" t="s">
        <v>50</v>
      </c>
      <c r="E135" t="s">
        <v>29</v>
      </c>
      <c r="F135">
        <v>71</v>
      </c>
      <c r="G135">
        <v>1945.22</v>
      </c>
      <c r="H135" t="s">
        <v>54</v>
      </c>
      <c r="I135" t="s">
        <v>80</v>
      </c>
      <c r="J135" s="1">
        <v>44607</v>
      </c>
      <c r="K135" s="1">
        <f>DATE(YEAR(subscriptions[[#This Row],[signup_date]]),MONTH(subscriptions[[#This Row],[signup_date]]),1)</f>
        <v>44593</v>
      </c>
      <c r="L135" t="s">
        <v>32</v>
      </c>
      <c r="M135" s="1">
        <v>45848</v>
      </c>
      <c r="N135" s="1">
        <f>IF(subscriptions[[#This Row],[churn_date]]="","",DATE(YEAR(subscriptions[[#This Row],[churn_date]]),MONTH(subscriptions[[#This Row],[churn_date]]),1))</f>
        <v>45839</v>
      </c>
      <c r="O135" t="s">
        <v>93</v>
      </c>
      <c r="P135">
        <v>11</v>
      </c>
      <c r="Q135">
        <v>5</v>
      </c>
      <c r="R135">
        <v>31</v>
      </c>
      <c r="S135" t="str">
        <f t="shared" si="2"/>
        <v>Moderate Usage</v>
      </c>
      <c r="T135" t="s">
        <v>34</v>
      </c>
    </row>
    <row r="136" spans="1:20" x14ac:dyDescent="0.3">
      <c r="A136" t="s">
        <v>200</v>
      </c>
      <c r="B136" t="s">
        <v>26</v>
      </c>
      <c r="C136" t="s">
        <v>27</v>
      </c>
      <c r="D136" t="s">
        <v>28</v>
      </c>
      <c r="E136" t="s">
        <v>47</v>
      </c>
      <c r="F136">
        <v>25</v>
      </c>
      <c r="G136">
        <v>363.4</v>
      </c>
      <c r="H136" t="s">
        <v>71</v>
      </c>
      <c r="I136" t="s">
        <v>66</v>
      </c>
      <c r="J136" s="1">
        <v>44789</v>
      </c>
      <c r="K136" s="1">
        <f>DATE(YEAR(subscriptions[[#This Row],[signup_date]]),MONTH(subscriptions[[#This Row],[signup_date]]),1)</f>
        <v>44774</v>
      </c>
      <c r="L136" t="s">
        <v>34</v>
      </c>
      <c r="M136" s="1"/>
      <c r="N136" s="1" t="str">
        <f>IF(subscriptions[[#This Row],[churn_date]]="","",DATE(YEAR(subscriptions[[#This Row],[churn_date]]),MONTH(subscriptions[[#This Row],[churn_date]]),1))</f>
        <v/>
      </c>
      <c r="O136" t="s">
        <v>38</v>
      </c>
      <c r="P136">
        <v>5</v>
      </c>
      <c r="Q136">
        <v>9</v>
      </c>
      <c r="R136">
        <v>85</v>
      </c>
      <c r="S136" t="str">
        <f t="shared" si="2"/>
        <v>Very High Usage</v>
      </c>
      <c r="T136" t="s">
        <v>34</v>
      </c>
    </row>
    <row r="137" spans="1:20" x14ac:dyDescent="0.3">
      <c r="A137" t="s">
        <v>201</v>
      </c>
      <c r="B137" t="s">
        <v>26</v>
      </c>
      <c r="C137" t="s">
        <v>36</v>
      </c>
      <c r="D137" t="s">
        <v>52</v>
      </c>
      <c r="E137" t="s">
        <v>42</v>
      </c>
      <c r="F137">
        <v>106</v>
      </c>
      <c r="G137">
        <v>1124.76</v>
      </c>
      <c r="H137" t="s">
        <v>43</v>
      </c>
      <c r="I137" t="s">
        <v>31</v>
      </c>
      <c r="J137" s="1">
        <v>44626</v>
      </c>
      <c r="K137" s="1">
        <f>DATE(YEAR(subscriptions[[#This Row],[signup_date]]),MONTH(subscriptions[[#This Row],[signup_date]]),1)</f>
        <v>44621</v>
      </c>
      <c r="L137" t="s">
        <v>34</v>
      </c>
      <c r="M137" s="1"/>
      <c r="N137" s="1" t="str">
        <f>IF(subscriptions[[#This Row],[churn_date]]="","",DATE(YEAR(subscriptions[[#This Row],[churn_date]]),MONTH(subscriptions[[#This Row],[churn_date]]),1))</f>
        <v/>
      </c>
      <c r="O137" t="s">
        <v>38</v>
      </c>
      <c r="P137">
        <v>4</v>
      </c>
      <c r="Q137">
        <v>4</v>
      </c>
      <c r="R137">
        <v>87</v>
      </c>
      <c r="S137" t="str">
        <f t="shared" si="2"/>
        <v>Very High Usage</v>
      </c>
      <c r="T137" t="s">
        <v>34</v>
      </c>
    </row>
    <row r="138" spans="1:20" x14ac:dyDescent="0.3">
      <c r="A138" t="s">
        <v>202</v>
      </c>
      <c r="B138" t="s">
        <v>40</v>
      </c>
      <c r="C138" t="s">
        <v>36</v>
      </c>
      <c r="D138" t="s">
        <v>46</v>
      </c>
      <c r="E138" t="s">
        <v>47</v>
      </c>
      <c r="F138">
        <v>9</v>
      </c>
      <c r="G138">
        <v>54.23</v>
      </c>
      <c r="H138" t="s">
        <v>30</v>
      </c>
      <c r="I138" t="s">
        <v>31</v>
      </c>
      <c r="J138" s="1">
        <v>45053</v>
      </c>
      <c r="K138" s="1">
        <f>DATE(YEAR(subscriptions[[#This Row],[signup_date]]),MONTH(subscriptions[[#This Row],[signup_date]]),1)</f>
        <v>45047</v>
      </c>
      <c r="L138" t="s">
        <v>32</v>
      </c>
      <c r="M138" s="1">
        <v>45338</v>
      </c>
      <c r="N138" s="1">
        <f>IF(subscriptions[[#This Row],[churn_date]]="","",DATE(YEAR(subscriptions[[#This Row],[churn_date]]),MONTH(subscriptions[[#This Row],[churn_date]]),1))</f>
        <v>45323</v>
      </c>
      <c r="O138" t="s">
        <v>57</v>
      </c>
      <c r="P138">
        <v>4</v>
      </c>
      <c r="Q138">
        <v>2</v>
      </c>
      <c r="R138">
        <v>41</v>
      </c>
      <c r="S138" t="str">
        <f t="shared" si="2"/>
        <v>Moderate Usage</v>
      </c>
      <c r="T138" t="s">
        <v>34</v>
      </c>
    </row>
    <row r="139" spans="1:20" x14ac:dyDescent="0.3">
      <c r="A139" t="s">
        <v>203</v>
      </c>
      <c r="B139" t="s">
        <v>40</v>
      </c>
      <c r="C139" t="s">
        <v>27</v>
      </c>
      <c r="D139" t="s">
        <v>63</v>
      </c>
      <c r="E139" t="s">
        <v>47</v>
      </c>
      <c r="F139">
        <v>21</v>
      </c>
      <c r="G139">
        <v>116</v>
      </c>
      <c r="H139" t="s">
        <v>37</v>
      </c>
      <c r="I139" t="s">
        <v>48</v>
      </c>
      <c r="J139" s="1">
        <v>44774</v>
      </c>
      <c r="K139" s="1">
        <f>DATE(YEAR(subscriptions[[#This Row],[signup_date]]),MONTH(subscriptions[[#This Row],[signup_date]]),1)</f>
        <v>44774</v>
      </c>
      <c r="L139" t="s">
        <v>32</v>
      </c>
      <c r="M139" s="1">
        <v>44812</v>
      </c>
      <c r="N139" s="1">
        <f>IF(subscriptions[[#This Row],[churn_date]]="","",DATE(YEAR(subscriptions[[#This Row],[churn_date]]),MONTH(subscriptions[[#This Row],[churn_date]]),1))</f>
        <v>44805</v>
      </c>
      <c r="O139" t="s">
        <v>33</v>
      </c>
      <c r="P139">
        <v>1</v>
      </c>
      <c r="Q139">
        <v>3</v>
      </c>
      <c r="R139">
        <v>19</v>
      </c>
      <c r="S139" t="str">
        <f t="shared" si="2"/>
        <v>Very Low Usage</v>
      </c>
      <c r="T139" t="s">
        <v>34</v>
      </c>
    </row>
    <row r="140" spans="1:20" x14ac:dyDescent="0.3">
      <c r="A140" t="s">
        <v>204</v>
      </c>
      <c r="B140" t="s">
        <v>40</v>
      </c>
      <c r="C140" t="s">
        <v>27</v>
      </c>
      <c r="D140" t="s">
        <v>41</v>
      </c>
      <c r="E140" t="s">
        <v>47</v>
      </c>
      <c r="F140">
        <v>5</v>
      </c>
      <c r="G140">
        <v>46.4</v>
      </c>
      <c r="H140" t="s">
        <v>54</v>
      </c>
      <c r="I140" t="s">
        <v>31</v>
      </c>
      <c r="J140" s="1">
        <v>45663</v>
      </c>
      <c r="K140" s="1">
        <f>DATE(YEAR(subscriptions[[#This Row],[signup_date]]),MONTH(subscriptions[[#This Row],[signup_date]]),1)</f>
        <v>45658</v>
      </c>
      <c r="L140" t="s">
        <v>32</v>
      </c>
      <c r="M140" s="1">
        <v>46010</v>
      </c>
      <c r="N140" s="1">
        <f>IF(subscriptions[[#This Row],[churn_date]]="","",DATE(YEAR(subscriptions[[#This Row],[churn_date]]),MONTH(subscriptions[[#This Row],[churn_date]]),1))</f>
        <v>45992</v>
      </c>
      <c r="O140" t="s">
        <v>64</v>
      </c>
      <c r="P140">
        <v>7</v>
      </c>
      <c r="Q140">
        <v>3</v>
      </c>
      <c r="R140">
        <v>22</v>
      </c>
      <c r="S140" t="str">
        <f t="shared" si="2"/>
        <v>Moderate Usage</v>
      </c>
      <c r="T140" t="s">
        <v>34</v>
      </c>
    </row>
    <row r="141" spans="1:20" x14ac:dyDescent="0.3">
      <c r="A141" t="s">
        <v>205</v>
      </c>
      <c r="B141" t="s">
        <v>40</v>
      </c>
      <c r="C141" t="s">
        <v>27</v>
      </c>
      <c r="D141" t="s">
        <v>28</v>
      </c>
      <c r="E141" t="s">
        <v>56</v>
      </c>
      <c r="F141">
        <v>131</v>
      </c>
      <c r="G141">
        <v>594.5</v>
      </c>
      <c r="H141" t="s">
        <v>43</v>
      </c>
      <c r="I141" t="s">
        <v>31</v>
      </c>
      <c r="J141" s="1">
        <v>44613</v>
      </c>
      <c r="K141" s="1">
        <f>DATE(YEAR(subscriptions[[#This Row],[signup_date]]),MONTH(subscriptions[[#This Row],[signup_date]]),1)</f>
        <v>44593</v>
      </c>
      <c r="L141" t="s">
        <v>32</v>
      </c>
      <c r="M141" s="1">
        <v>44764</v>
      </c>
      <c r="N141" s="1">
        <f>IF(subscriptions[[#This Row],[churn_date]]="","",DATE(YEAR(subscriptions[[#This Row],[churn_date]]),MONTH(subscriptions[[#This Row],[churn_date]]),1))</f>
        <v>44743</v>
      </c>
      <c r="O141" t="s">
        <v>67</v>
      </c>
      <c r="P141">
        <v>9</v>
      </c>
      <c r="Q141">
        <v>3</v>
      </c>
      <c r="R141">
        <v>16</v>
      </c>
      <c r="S141" t="str">
        <f t="shared" si="2"/>
        <v>Very Low Usage</v>
      </c>
      <c r="T141" t="s">
        <v>34</v>
      </c>
    </row>
    <row r="142" spans="1:20" x14ac:dyDescent="0.3">
      <c r="A142" t="s">
        <v>206</v>
      </c>
      <c r="B142" t="s">
        <v>45</v>
      </c>
      <c r="C142" t="s">
        <v>36</v>
      </c>
      <c r="D142" t="s">
        <v>79</v>
      </c>
      <c r="E142" t="s">
        <v>29</v>
      </c>
      <c r="F142">
        <v>18</v>
      </c>
      <c r="G142">
        <v>600.48</v>
      </c>
      <c r="H142" t="s">
        <v>71</v>
      </c>
      <c r="I142" t="s">
        <v>31</v>
      </c>
      <c r="J142" s="1">
        <v>45368</v>
      </c>
      <c r="K142" s="1">
        <f>DATE(YEAR(subscriptions[[#This Row],[signup_date]]),MONTH(subscriptions[[#This Row],[signup_date]]),1)</f>
        <v>45352</v>
      </c>
      <c r="L142" t="s">
        <v>34</v>
      </c>
      <c r="M142" s="1"/>
      <c r="N142" s="1" t="str">
        <f>IF(subscriptions[[#This Row],[churn_date]]="","",DATE(YEAR(subscriptions[[#This Row],[churn_date]]),MONTH(subscriptions[[#This Row],[churn_date]]),1))</f>
        <v/>
      </c>
      <c r="O142" t="s">
        <v>38</v>
      </c>
      <c r="P142">
        <v>8</v>
      </c>
      <c r="Q142">
        <v>4</v>
      </c>
      <c r="R142">
        <v>33</v>
      </c>
      <c r="S142" t="str">
        <f t="shared" si="2"/>
        <v>Moderate Usage</v>
      </c>
      <c r="T142" t="s">
        <v>34</v>
      </c>
    </row>
    <row r="143" spans="1:20" x14ac:dyDescent="0.3">
      <c r="A143" t="s">
        <v>207</v>
      </c>
      <c r="B143" t="s">
        <v>40</v>
      </c>
      <c r="C143" t="s">
        <v>36</v>
      </c>
      <c r="D143" t="s">
        <v>73</v>
      </c>
      <c r="E143" t="s">
        <v>29</v>
      </c>
      <c r="F143">
        <v>28</v>
      </c>
      <c r="G143">
        <v>124.48</v>
      </c>
      <c r="H143" t="s">
        <v>109</v>
      </c>
      <c r="I143" t="s">
        <v>31</v>
      </c>
      <c r="J143" s="1">
        <v>45534</v>
      </c>
      <c r="K143" s="1">
        <f>DATE(YEAR(subscriptions[[#This Row],[signup_date]]),MONTH(subscriptions[[#This Row],[signup_date]]),1)</f>
        <v>45505</v>
      </c>
      <c r="L143" t="s">
        <v>34</v>
      </c>
      <c r="M143" s="1"/>
      <c r="N143" s="1" t="str">
        <f>IF(subscriptions[[#This Row],[churn_date]]="","",DATE(YEAR(subscriptions[[#This Row],[churn_date]]),MONTH(subscriptions[[#This Row],[churn_date]]),1))</f>
        <v/>
      </c>
      <c r="O143" t="s">
        <v>38</v>
      </c>
      <c r="P143">
        <v>8</v>
      </c>
      <c r="Q143">
        <v>3</v>
      </c>
      <c r="R143">
        <v>32</v>
      </c>
      <c r="S143" t="str">
        <f t="shared" si="2"/>
        <v>Moderate Usage</v>
      </c>
      <c r="T143" t="s">
        <v>34</v>
      </c>
    </row>
    <row r="144" spans="1:20" x14ac:dyDescent="0.3">
      <c r="A144" t="s">
        <v>208</v>
      </c>
      <c r="B144" t="s">
        <v>45</v>
      </c>
      <c r="C144" t="s">
        <v>36</v>
      </c>
      <c r="D144" t="s">
        <v>41</v>
      </c>
      <c r="E144" t="s">
        <v>53</v>
      </c>
      <c r="F144">
        <v>7</v>
      </c>
      <c r="G144">
        <v>321.38</v>
      </c>
      <c r="H144" t="s">
        <v>30</v>
      </c>
      <c r="I144" t="s">
        <v>31</v>
      </c>
      <c r="J144" s="1">
        <v>45928</v>
      </c>
      <c r="K144" s="1">
        <f>DATE(YEAR(subscriptions[[#This Row],[signup_date]]),MONTH(subscriptions[[#This Row],[signup_date]]),1)</f>
        <v>45901</v>
      </c>
      <c r="L144" t="s">
        <v>34</v>
      </c>
      <c r="M144" s="1"/>
      <c r="N144" s="1" t="str">
        <f>IF(subscriptions[[#This Row],[churn_date]]="","",DATE(YEAR(subscriptions[[#This Row],[churn_date]]),MONTH(subscriptions[[#This Row],[churn_date]]),1))</f>
        <v/>
      </c>
      <c r="O144" t="s">
        <v>38</v>
      </c>
      <c r="P144">
        <v>12</v>
      </c>
      <c r="Q144">
        <v>1</v>
      </c>
      <c r="R144">
        <v>43</v>
      </c>
      <c r="S144" t="str">
        <f t="shared" si="2"/>
        <v>Moderate Usage</v>
      </c>
      <c r="T144" t="s">
        <v>34</v>
      </c>
    </row>
    <row r="145" spans="1:20" x14ac:dyDescent="0.3">
      <c r="A145" t="s">
        <v>209</v>
      </c>
      <c r="B145" t="s">
        <v>40</v>
      </c>
      <c r="C145" t="s">
        <v>27</v>
      </c>
      <c r="D145" t="s">
        <v>46</v>
      </c>
      <c r="E145" t="s">
        <v>53</v>
      </c>
      <c r="F145">
        <v>6</v>
      </c>
      <c r="G145">
        <v>50.75</v>
      </c>
      <c r="H145" t="s">
        <v>30</v>
      </c>
      <c r="I145" t="s">
        <v>31</v>
      </c>
      <c r="J145" s="1">
        <v>45018</v>
      </c>
      <c r="K145" s="1">
        <f>DATE(YEAR(subscriptions[[#This Row],[signup_date]]),MONTH(subscriptions[[#This Row],[signup_date]]),1)</f>
        <v>45017</v>
      </c>
      <c r="L145" t="s">
        <v>32</v>
      </c>
      <c r="M145" s="1">
        <v>45129</v>
      </c>
      <c r="N145" s="1">
        <f>IF(subscriptions[[#This Row],[churn_date]]="","",DATE(YEAR(subscriptions[[#This Row],[churn_date]]),MONTH(subscriptions[[#This Row],[churn_date]]),1))</f>
        <v>45108</v>
      </c>
      <c r="O145" t="s">
        <v>93</v>
      </c>
      <c r="P145">
        <v>3</v>
      </c>
      <c r="Q145">
        <v>1</v>
      </c>
      <c r="R145">
        <v>44</v>
      </c>
      <c r="S145" t="str">
        <f t="shared" si="2"/>
        <v>Moderate Usage</v>
      </c>
      <c r="T145" t="s">
        <v>34</v>
      </c>
    </row>
    <row r="146" spans="1:20" x14ac:dyDescent="0.3">
      <c r="A146" t="s">
        <v>210</v>
      </c>
      <c r="B146" t="s">
        <v>26</v>
      </c>
      <c r="C146" t="s">
        <v>36</v>
      </c>
      <c r="D146" t="s">
        <v>41</v>
      </c>
      <c r="E146" t="s">
        <v>47</v>
      </c>
      <c r="F146">
        <v>8</v>
      </c>
      <c r="G146">
        <v>137.66</v>
      </c>
      <c r="H146" t="s">
        <v>37</v>
      </c>
      <c r="I146" t="s">
        <v>31</v>
      </c>
      <c r="J146" s="1">
        <v>45277</v>
      </c>
      <c r="K146" s="1">
        <f>DATE(YEAR(subscriptions[[#This Row],[signup_date]]),MONTH(subscriptions[[#This Row],[signup_date]]),1)</f>
        <v>45261</v>
      </c>
      <c r="L146" t="s">
        <v>32</v>
      </c>
      <c r="M146" s="1">
        <v>45613</v>
      </c>
      <c r="N146" s="1">
        <f>IF(subscriptions[[#This Row],[churn_date]]="","",DATE(YEAR(subscriptions[[#This Row],[churn_date]]),MONTH(subscriptions[[#This Row],[churn_date]]),1))</f>
        <v>45597</v>
      </c>
      <c r="O146" t="s">
        <v>57</v>
      </c>
      <c r="P146">
        <v>3</v>
      </c>
      <c r="Q146">
        <v>3</v>
      </c>
      <c r="R146">
        <v>30</v>
      </c>
      <c r="S146" t="str">
        <f t="shared" si="2"/>
        <v>Moderate Usage</v>
      </c>
      <c r="T146" t="s">
        <v>34</v>
      </c>
    </row>
    <row r="147" spans="1:20" x14ac:dyDescent="0.3">
      <c r="A147" t="s">
        <v>211</v>
      </c>
      <c r="B147" t="s">
        <v>82</v>
      </c>
      <c r="C147" t="s">
        <v>27</v>
      </c>
      <c r="D147" t="s">
        <v>79</v>
      </c>
      <c r="E147" t="s">
        <v>47</v>
      </c>
      <c r="F147">
        <v>15</v>
      </c>
      <c r="G147">
        <v>1546.9</v>
      </c>
      <c r="H147" t="s">
        <v>30</v>
      </c>
      <c r="I147" t="s">
        <v>31</v>
      </c>
      <c r="J147" s="1">
        <v>44739</v>
      </c>
      <c r="K147" s="1">
        <f>DATE(YEAR(subscriptions[[#This Row],[signup_date]]),MONTH(subscriptions[[#This Row],[signup_date]]),1)</f>
        <v>44713</v>
      </c>
      <c r="L147" t="s">
        <v>34</v>
      </c>
      <c r="M147" s="1"/>
      <c r="N147" s="1" t="str">
        <f>IF(subscriptions[[#This Row],[churn_date]]="","",DATE(YEAR(subscriptions[[#This Row],[churn_date]]),MONTH(subscriptions[[#This Row],[churn_date]]),1))</f>
        <v/>
      </c>
      <c r="O147" t="s">
        <v>38</v>
      </c>
      <c r="P147">
        <v>1</v>
      </c>
      <c r="Q147">
        <v>5</v>
      </c>
      <c r="R147">
        <v>61</v>
      </c>
      <c r="S147" t="str">
        <f t="shared" si="2"/>
        <v>High Usage</v>
      </c>
      <c r="T147" t="s">
        <v>34</v>
      </c>
    </row>
    <row r="148" spans="1:20" x14ac:dyDescent="0.3">
      <c r="A148" t="s">
        <v>212</v>
      </c>
      <c r="B148" t="s">
        <v>40</v>
      </c>
      <c r="C148" t="s">
        <v>36</v>
      </c>
      <c r="D148" t="s">
        <v>50</v>
      </c>
      <c r="E148" t="s">
        <v>53</v>
      </c>
      <c r="F148">
        <v>6</v>
      </c>
      <c r="G148">
        <v>43.14</v>
      </c>
      <c r="H148" t="s">
        <v>71</v>
      </c>
      <c r="I148" t="s">
        <v>31</v>
      </c>
      <c r="J148" s="1">
        <v>45204</v>
      </c>
      <c r="K148" s="1">
        <f>DATE(YEAR(subscriptions[[#This Row],[signup_date]]),MONTH(subscriptions[[#This Row],[signup_date]]),1)</f>
        <v>45200</v>
      </c>
      <c r="L148" t="s">
        <v>32</v>
      </c>
      <c r="M148" s="1">
        <v>45251</v>
      </c>
      <c r="N148" s="1">
        <f>IF(subscriptions[[#This Row],[churn_date]]="","",DATE(YEAR(subscriptions[[#This Row],[churn_date]]),MONTH(subscriptions[[#This Row],[churn_date]]),1))</f>
        <v>45231</v>
      </c>
      <c r="O148" t="s">
        <v>33</v>
      </c>
      <c r="P148">
        <v>5</v>
      </c>
      <c r="Q148">
        <v>3</v>
      </c>
      <c r="R148">
        <v>15</v>
      </c>
      <c r="S148" t="str">
        <f t="shared" si="2"/>
        <v>Very Low Usage</v>
      </c>
      <c r="T148" t="s">
        <v>34</v>
      </c>
    </row>
    <row r="149" spans="1:20" x14ac:dyDescent="0.3">
      <c r="A149" t="s">
        <v>213</v>
      </c>
      <c r="B149" t="s">
        <v>82</v>
      </c>
      <c r="C149" t="s">
        <v>27</v>
      </c>
      <c r="D149" t="s">
        <v>60</v>
      </c>
      <c r="E149" t="s">
        <v>29</v>
      </c>
      <c r="F149">
        <v>73</v>
      </c>
      <c r="G149">
        <v>5888.2</v>
      </c>
      <c r="H149" t="s">
        <v>30</v>
      </c>
      <c r="I149" t="s">
        <v>48</v>
      </c>
      <c r="J149" s="1">
        <v>45714</v>
      </c>
      <c r="K149" s="1">
        <f>DATE(YEAR(subscriptions[[#This Row],[signup_date]]),MONTH(subscriptions[[#This Row],[signup_date]]),1)</f>
        <v>45689</v>
      </c>
      <c r="L149" t="s">
        <v>34</v>
      </c>
      <c r="M149" s="1"/>
      <c r="N149" s="1" t="str">
        <f>IF(subscriptions[[#This Row],[churn_date]]="","",DATE(YEAR(subscriptions[[#This Row],[churn_date]]),MONTH(subscriptions[[#This Row],[churn_date]]),1))</f>
        <v/>
      </c>
      <c r="O149" t="s">
        <v>38</v>
      </c>
      <c r="P149">
        <v>5</v>
      </c>
      <c r="Q149">
        <v>2</v>
      </c>
      <c r="R149">
        <v>54</v>
      </c>
      <c r="S149" t="str">
        <f t="shared" si="2"/>
        <v>High Usage</v>
      </c>
      <c r="T149" t="s">
        <v>34</v>
      </c>
    </row>
    <row r="150" spans="1:20" x14ac:dyDescent="0.3">
      <c r="A150" t="s">
        <v>214</v>
      </c>
      <c r="B150" t="s">
        <v>26</v>
      </c>
      <c r="C150" t="s">
        <v>27</v>
      </c>
      <c r="D150" t="s">
        <v>50</v>
      </c>
      <c r="E150" t="s">
        <v>53</v>
      </c>
      <c r="F150">
        <v>1</v>
      </c>
      <c r="G150">
        <v>79</v>
      </c>
      <c r="H150" t="s">
        <v>37</v>
      </c>
      <c r="I150" t="s">
        <v>31</v>
      </c>
      <c r="J150" s="1">
        <v>45866</v>
      </c>
      <c r="K150" s="1">
        <f>DATE(YEAR(subscriptions[[#This Row],[signup_date]]),MONTH(subscriptions[[#This Row],[signup_date]]),1)</f>
        <v>45839</v>
      </c>
      <c r="L150" t="s">
        <v>34</v>
      </c>
      <c r="M150" s="1"/>
      <c r="N150" s="1" t="str">
        <f>IF(subscriptions[[#This Row],[churn_date]]="","",DATE(YEAR(subscriptions[[#This Row],[churn_date]]),MONTH(subscriptions[[#This Row],[churn_date]]),1))</f>
        <v/>
      </c>
      <c r="O150" t="s">
        <v>38</v>
      </c>
      <c r="P150">
        <v>11</v>
      </c>
      <c r="Q150">
        <v>6</v>
      </c>
      <c r="R150">
        <v>74</v>
      </c>
      <c r="S150" t="str">
        <f t="shared" si="2"/>
        <v>High Usage</v>
      </c>
      <c r="T150" t="s">
        <v>34</v>
      </c>
    </row>
    <row r="151" spans="1:20" x14ac:dyDescent="0.3">
      <c r="A151" t="s">
        <v>215</v>
      </c>
      <c r="B151" t="s">
        <v>26</v>
      </c>
      <c r="C151" t="s">
        <v>27</v>
      </c>
      <c r="D151" t="s">
        <v>50</v>
      </c>
      <c r="E151" t="s">
        <v>47</v>
      </c>
      <c r="F151">
        <v>26</v>
      </c>
      <c r="G151">
        <v>375.25</v>
      </c>
      <c r="H151" t="s">
        <v>30</v>
      </c>
      <c r="I151" t="s">
        <v>80</v>
      </c>
      <c r="J151" s="1">
        <v>45109</v>
      </c>
      <c r="K151" s="1">
        <f>DATE(YEAR(subscriptions[[#This Row],[signup_date]]),MONTH(subscriptions[[#This Row],[signup_date]]),1)</f>
        <v>45108</v>
      </c>
      <c r="L151" t="s">
        <v>32</v>
      </c>
      <c r="M151" s="1">
        <v>45346</v>
      </c>
      <c r="N151" s="1">
        <f>IF(subscriptions[[#This Row],[churn_date]]="","",DATE(YEAR(subscriptions[[#This Row],[churn_date]]),MONTH(subscriptions[[#This Row],[churn_date]]),1))</f>
        <v>45323</v>
      </c>
      <c r="O151" t="s">
        <v>33</v>
      </c>
      <c r="P151">
        <v>13</v>
      </c>
      <c r="Q151">
        <v>1</v>
      </c>
      <c r="R151">
        <v>29</v>
      </c>
      <c r="S151" t="str">
        <f t="shared" si="2"/>
        <v>Moderate Usage</v>
      </c>
      <c r="T151" t="s">
        <v>34</v>
      </c>
    </row>
    <row r="152" spans="1:20" x14ac:dyDescent="0.3">
      <c r="A152" t="s">
        <v>216</v>
      </c>
      <c r="B152" t="s">
        <v>40</v>
      </c>
      <c r="C152" t="s">
        <v>27</v>
      </c>
      <c r="D152" t="s">
        <v>28</v>
      </c>
      <c r="E152" t="s">
        <v>53</v>
      </c>
      <c r="F152">
        <v>5</v>
      </c>
      <c r="G152">
        <v>46.4</v>
      </c>
      <c r="H152" t="s">
        <v>109</v>
      </c>
      <c r="I152" t="s">
        <v>31</v>
      </c>
      <c r="J152" s="1">
        <v>45438</v>
      </c>
      <c r="K152" s="1">
        <f>DATE(YEAR(subscriptions[[#This Row],[signup_date]]),MONTH(subscriptions[[#This Row],[signup_date]]),1)</f>
        <v>45413</v>
      </c>
      <c r="L152" t="s">
        <v>32</v>
      </c>
      <c r="M152" s="1">
        <v>45632</v>
      </c>
      <c r="N152" s="1">
        <f>IF(subscriptions[[#This Row],[churn_date]]="","",DATE(YEAR(subscriptions[[#This Row],[churn_date]]),MONTH(subscriptions[[#This Row],[churn_date]]),1))</f>
        <v>45627</v>
      </c>
      <c r="O152" t="s">
        <v>74</v>
      </c>
      <c r="P152">
        <v>7</v>
      </c>
      <c r="Q152">
        <v>5</v>
      </c>
      <c r="R152">
        <v>15</v>
      </c>
      <c r="S152" t="str">
        <f t="shared" si="2"/>
        <v>Very Low Usage</v>
      </c>
      <c r="T152" t="s">
        <v>34</v>
      </c>
    </row>
    <row r="153" spans="1:20" x14ac:dyDescent="0.3">
      <c r="A153" t="s">
        <v>217</v>
      </c>
      <c r="B153" t="s">
        <v>45</v>
      </c>
      <c r="C153" t="s">
        <v>36</v>
      </c>
      <c r="D153" t="s">
        <v>28</v>
      </c>
      <c r="E153" t="s">
        <v>42</v>
      </c>
      <c r="F153">
        <v>199</v>
      </c>
      <c r="G153">
        <v>5192.8999999999996</v>
      </c>
      <c r="H153" t="s">
        <v>43</v>
      </c>
      <c r="I153" t="s">
        <v>31</v>
      </c>
      <c r="J153" s="1">
        <v>45086</v>
      </c>
      <c r="K153" s="1">
        <f>DATE(YEAR(subscriptions[[#This Row],[signup_date]]),MONTH(subscriptions[[#This Row],[signup_date]]),1)</f>
        <v>45078</v>
      </c>
      <c r="L153" t="s">
        <v>32</v>
      </c>
      <c r="M153" s="1">
        <v>45526</v>
      </c>
      <c r="N153" s="1">
        <f>IF(subscriptions[[#This Row],[churn_date]]="","",DATE(YEAR(subscriptions[[#This Row],[churn_date]]),MONTH(subscriptions[[#This Row],[churn_date]]),1))</f>
        <v>45505</v>
      </c>
      <c r="O153" t="s">
        <v>57</v>
      </c>
      <c r="P153">
        <v>4</v>
      </c>
      <c r="Q153">
        <v>5</v>
      </c>
      <c r="R153">
        <v>36</v>
      </c>
      <c r="S153" t="str">
        <f t="shared" si="2"/>
        <v>Moderate Usage</v>
      </c>
      <c r="T153" t="s">
        <v>34</v>
      </c>
    </row>
    <row r="154" spans="1:20" x14ac:dyDescent="0.3">
      <c r="A154" t="s">
        <v>218</v>
      </c>
      <c r="B154" t="s">
        <v>40</v>
      </c>
      <c r="C154" t="s">
        <v>27</v>
      </c>
      <c r="D154" t="s">
        <v>28</v>
      </c>
      <c r="E154" t="s">
        <v>53</v>
      </c>
      <c r="F154">
        <v>6</v>
      </c>
      <c r="G154">
        <v>50.75</v>
      </c>
      <c r="H154" t="s">
        <v>43</v>
      </c>
      <c r="I154" t="s">
        <v>31</v>
      </c>
      <c r="J154" s="1">
        <v>45786</v>
      </c>
      <c r="K154" s="1">
        <f>DATE(YEAR(subscriptions[[#This Row],[signup_date]]),MONTH(subscriptions[[#This Row],[signup_date]]),1)</f>
        <v>45778</v>
      </c>
      <c r="L154" t="s">
        <v>32</v>
      </c>
      <c r="M154" s="1">
        <v>45991</v>
      </c>
      <c r="N154" s="1">
        <f>IF(subscriptions[[#This Row],[churn_date]]="","",DATE(YEAR(subscriptions[[#This Row],[churn_date]]),MONTH(subscriptions[[#This Row],[churn_date]]),1))</f>
        <v>45962</v>
      </c>
      <c r="O154" t="s">
        <v>64</v>
      </c>
      <c r="P154">
        <v>8</v>
      </c>
      <c r="Q154">
        <v>4</v>
      </c>
      <c r="R154">
        <v>18</v>
      </c>
      <c r="S154" t="str">
        <f t="shared" si="2"/>
        <v>Very Low Usage</v>
      </c>
      <c r="T154" t="s">
        <v>34</v>
      </c>
    </row>
    <row r="155" spans="1:20" x14ac:dyDescent="0.3">
      <c r="A155" t="s">
        <v>219</v>
      </c>
      <c r="B155" t="s">
        <v>26</v>
      </c>
      <c r="C155" t="s">
        <v>36</v>
      </c>
      <c r="D155" t="s">
        <v>79</v>
      </c>
      <c r="E155" t="s">
        <v>53</v>
      </c>
      <c r="F155">
        <v>1</v>
      </c>
      <c r="G155">
        <v>67.150000000000006</v>
      </c>
      <c r="H155" t="s">
        <v>43</v>
      </c>
      <c r="I155" t="s">
        <v>48</v>
      </c>
      <c r="J155" s="1">
        <v>45515</v>
      </c>
      <c r="K155" s="1">
        <f>DATE(YEAR(subscriptions[[#This Row],[signup_date]]),MONTH(subscriptions[[#This Row],[signup_date]]),1)</f>
        <v>45505</v>
      </c>
      <c r="L155" t="s">
        <v>32</v>
      </c>
      <c r="M155" s="1">
        <v>45714</v>
      </c>
      <c r="N155" s="1">
        <f>IF(subscriptions[[#This Row],[churn_date]]="","",DATE(YEAR(subscriptions[[#This Row],[churn_date]]),MONTH(subscriptions[[#This Row],[churn_date]]),1))</f>
        <v>45689</v>
      </c>
      <c r="O155" t="s">
        <v>57</v>
      </c>
      <c r="P155">
        <v>1</v>
      </c>
      <c r="Q155">
        <v>5</v>
      </c>
      <c r="R155">
        <v>14</v>
      </c>
      <c r="S155" t="str">
        <f t="shared" si="2"/>
        <v>Very Low Usage</v>
      </c>
      <c r="T155" t="s">
        <v>34</v>
      </c>
    </row>
    <row r="156" spans="1:20" x14ac:dyDescent="0.3">
      <c r="A156" t="s">
        <v>220</v>
      </c>
      <c r="B156" t="s">
        <v>40</v>
      </c>
      <c r="C156" t="s">
        <v>27</v>
      </c>
      <c r="D156" t="s">
        <v>90</v>
      </c>
      <c r="E156" t="s">
        <v>42</v>
      </c>
      <c r="F156">
        <v>230</v>
      </c>
      <c r="G156">
        <v>1025.1500000000001</v>
      </c>
      <c r="H156" t="s">
        <v>54</v>
      </c>
      <c r="I156" t="s">
        <v>66</v>
      </c>
      <c r="J156" s="1">
        <v>44848</v>
      </c>
      <c r="K156" s="1">
        <f>DATE(YEAR(subscriptions[[#This Row],[signup_date]]),MONTH(subscriptions[[#This Row],[signup_date]]),1)</f>
        <v>44835</v>
      </c>
      <c r="L156" t="s">
        <v>32</v>
      </c>
      <c r="M156" s="1">
        <v>45385</v>
      </c>
      <c r="N156" s="1">
        <f>IF(subscriptions[[#This Row],[churn_date]]="","",DATE(YEAR(subscriptions[[#This Row],[churn_date]]),MONTH(subscriptions[[#This Row],[churn_date]]),1))</f>
        <v>45383</v>
      </c>
      <c r="O156" t="s">
        <v>33</v>
      </c>
      <c r="P156">
        <v>6</v>
      </c>
      <c r="Q156">
        <v>2</v>
      </c>
      <c r="R156">
        <v>35</v>
      </c>
      <c r="S156" t="str">
        <f t="shared" si="2"/>
        <v>Moderate Usage</v>
      </c>
      <c r="T156" t="s">
        <v>34</v>
      </c>
    </row>
    <row r="157" spans="1:20" x14ac:dyDescent="0.3">
      <c r="A157" t="s">
        <v>221</v>
      </c>
      <c r="B157" t="s">
        <v>45</v>
      </c>
      <c r="C157" t="s">
        <v>27</v>
      </c>
      <c r="D157" t="s">
        <v>63</v>
      </c>
      <c r="E157" t="s">
        <v>47</v>
      </c>
      <c r="F157">
        <v>7</v>
      </c>
      <c r="G157">
        <v>378.1</v>
      </c>
      <c r="H157" t="s">
        <v>30</v>
      </c>
      <c r="I157" t="s">
        <v>31</v>
      </c>
      <c r="J157" s="1">
        <v>45555</v>
      </c>
      <c r="K157" s="1">
        <f>DATE(YEAR(subscriptions[[#This Row],[signup_date]]),MONTH(subscriptions[[#This Row],[signup_date]]),1)</f>
        <v>45536</v>
      </c>
      <c r="L157" t="s">
        <v>34</v>
      </c>
      <c r="M157" s="1"/>
      <c r="N157" s="1" t="str">
        <f>IF(subscriptions[[#This Row],[churn_date]]="","",DATE(YEAR(subscriptions[[#This Row],[churn_date]]),MONTH(subscriptions[[#This Row],[churn_date]]),1))</f>
        <v/>
      </c>
      <c r="O157" t="s">
        <v>38</v>
      </c>
      <c r="P157">
        <v>4</v>
      </c>
      <c r="Q157">
        <v>5</v>
      </c>
      <c r="R157">
        <v>83</v>
      </c>
      <c r="S157" t="str">
        <f t="shared" si="2"/>
        <v>Very High Usage</v>
      </c>
      <c r="T157" t="s">
        <v>34</v>
      </c>
    </row>
    <row r="158" spans="1:20" x14ac:dyDescent="0.3">
      <c r="A158" t="s">
        <v>222</v>
      </c>
      <c r="B158" t="s">
        <v>26</v>
      </c>
      <c r="C158" t="s">
        <v>36</v>
      </c>
      <c r="D158" t="s">
        <v>73</v>
      </c>
      <c r="E158" t="s">
        <v>53</v>
      </c>
      <c r="F158">
        <v>5</v>
      </c>
      <c r="G158">
        <v>107.44</v>
      </c>
      <c r="H158" t="s">
        <v>37</v>
      </c>
      <c r="I158" t="s">
        <v>48</v>
      </c>
      <c r="J158" s="1">
        <v>45144</v>
      </c>
      <c r="K158" s="1">
        <f>DATE(YEAR(subscriptions[[#This Row],[signup_date]]),MONTH(subscriptions[[#This Row],[signup_date]]),1)</f>
        <v>45139</v>
      </c>
      <c r="L158" t="s">
        <v>34</v>
      </c>
      <c r="M158" s="1"/>
      <c r="N158" s="1" t="str">
        <f>IF(subscriptions[[#This Row],[churn_date]]="","",DATE(YEAR(subscriptions[[#This Row],[churn_date]]),MONTH(subscriptions[[#This Row],[churn_date]]),1))</f>
        <v/>
      </c>
      <c r="O158" t="s">
        <v>38</v>
      </c>
      <c r="P158">
        <v>9</v>
      </c>
      <c r="Q158">
        <v>2</v>
      </c>
      <c r="R158">
        <v>80</v>
      </c>
      <c r="S158" t="str">
        <f t="shared" si="2"/>
        <v>High Usage</v>
      </c>
      <c r="T158" t="s">
        <v>34</v>
      </c>
    </row>
    <row r="159" spans="1:20" x14ac:dyDescent="0.3">
      <c r="A159" t="s">
        <v>223</v>
      </c>
      <c r="B159" t="s">
        <v>82</v>
      </c>
      <c r="C159" t="s">
        <v>27</v>
      </c>
      <c r="D159" t="s">
        <v>52</v>
      </c>
      <c r="E159" t="s">
        <v>47</v>
      </c>
      <c r="F159">
        <v>20</v>
      </c>
      <c r="G159">
        <v>1921.15</v>
      </c>
      <c r="H159" t="s">
        <v>30</v>
      </c>
      <c r="I159" t="s">
        <v>80</v>
      </c>
      <c r="J159" s="1">
        <v>45034</v>
      </c>
      <c r="K159" s="1">
        <f>DATE(YEAR(subscriptions[[#This Row],[signup_date]]),MONTH(subscriptions[[#This Row],[signup_date]]),1)</f>
        <v>45017</v>
      </c>
      <c r="L159" t="s">
        <v>34</v>
      </c>
      <c r="M159" s="1"/>
      <c r="N159" s="1" t="str">
        <f>IF(subscriptions[[#This Row],[churn_date]]="","",DATE(YEAR(subscriptions[[#This Row],[churn_date]]),MONTH(subscriptions[[#This Row],[churn_date]]),1))</f>
        <v/>
      </c>
      <c r="O159" t="s">
        <v>38</v>
      </c>
      <c r="P159">
        <v>6</v>
      </c>
      <c r="Q159">
        <v>2</v>
      </c>
      <c r="R159">
        <v>35</v>
      </c>
      <c r="S159" t="str">
        <f t="shared" si="2"/>
        <v>Moderate Usage</v>
      </c>
      <c r="T159" t="s">
        <v>34</v>
      </c>
    </row>
    <row r="160" spans="1:20" x14ac:dyDescent="0.3">
      <c r="A160" t="s">
        <v>224</v>
      </c>
      <c r="B160" t="s">
        <v>40</v>
      </c>
      <c r="C160" t="s">
        <v>36</v>
      </c>
      <c r="D160" t="s">
        <v>50</v>
      </c>
      <c r="E160" t="s">
        <v>29</v>
      </c>
      <c r="F160">
        <v>66</v>
      </c>
      <c r="G160">
        <v>264.99</v>
      </c>
      <c r="H160" t="s">
        <v>54</v>
      </c>
      <c r="I160" t="s">
        <v>66</v>
      </c>
      <c r="J160" s="1">
        <v>45955</v>
      </c>
      <c r="K160" s="1">
        <f>DATE(YEAR(subscriptions[[#This Row],[signup_date]]),MONTH(subscriptions[[#This Row],[signup_date]]),1)</f>
        <v>45931</v>
      </c>
      <c r="L160" t="s">
        <v>34</v>
      </c>
      <c r="M160" s="1"/>
      <c r="N160" s="1" t="str">
        <f>IF(subscriptions[[#This Row],[churn_date]]="","",DATE(YEAR(subscriptions[[#This Row],[churn_date]]),MONTH(subscriptions[[#This Row],[churn_date]]),1))</f>
        <v/>
      </c>
      <c r="O160" t="s">
        <v>38</v>
      </c>
      <c r="P160">
        <v>8</v>
      </c>
      <c r="Q160">
        <v>8</v>
      </c>
      <c r="R160">
        <v>30</v>
      </c>
      <c r="S160" t="str">
        <f t="shared" si="2"/>
        <v>Moderate Usage</v>
      </c>
      <c r="T160" t="s">
        <v>34</v>
      </c>
    </row>
    <row r="161" spans="1:20" x14ac:dyDescent="0.3">
      <c r="A161" t="s">
        <v>225</v>
      </c>
      <c r="B161" t="s">
        <v>26</v>
      </c>
      <c r="C161" t="s">
        <v>36</v>
      </c>
      <c r="D161" t="s">
        <v>79</v>
      </c>
      <c r="E161" t="s">
        <v>29</v>
      </c>
      <c r="F161">
        <v>71</v>
      </c>
      <c r="G161">
        <v>772.22</v>
      </c>
      <c r="H161" t="s">
        <v>30</v>
      </c>
      <c r="I161" t="s">
        <v>66</v>
      </c>
      <c r="J161" s="1">
        <v>45664</v>
      </c>
      <c r="K161" s="1">
        <f>DATE(YEAR(subscriptions[[#This Row],[signup_date]]),MONTH(subscriptions[[#This Row],[signup_date]]),1)</f>
        <v>45658</v>
      </c>
      <c r="L161" t="s">
        <v>34</v>
      </c>
      <c r="M161" s="1"/>
      <c r="N161" s="1" t="str">
        <f>IF(subscriptions[[#This Row],[churn_date]]="","",DATE(YEAR(subscriptions[[#This Row],[churn_date]]),MONTH(subscriptions[[#This Row],[churn_date]]),1))</f>
        <v/>
      </c>
      <c r="O161" t="s">
        <v>38</v>
      </c>
      <c r="P161">
        <v>9</v>
      </c>
      <c r="Q161">
        <v>5</v>
      </c>
      <c r="R161">
        <v>93</v>
      </c>
      <c r="S161" t="str">
        <f t="shared" si="2"/>
        <v>Very High Usage</v>
      </c>
      <c r="T161" t="s">
        <v>34</v>
      </c>
    </row>
    <row r="162" spans="1:20" x14ac:dyDescent="0.3">
      <c r="A162" t="s">
        <v>226</v>
      </c>
      <c r="B162" t="s">
        <v>45</v>
      </c>
      <c r="C162" t="s">
        <v>36</v>
      </c>
      <c r="D162" t="s">
        <v>73</v>
      </c>
      <c r="E162" t="s">
        <v>53</v>
      </c>
      <c r="F162">
        <v>4</v>
      </c>
      <c r="G162">
        <v>245.27</v>
      </c>
      <c r="H162" t="s">
        <v>43</v>
      </c>
      <c r="I162" t="s">
        <v>48</v>
      </c>
      <c r="J162" s="1">
        <v>45637</v>
      </c>
      <c r="K162" s="1">
        <f>DATE(YEAR(subscriptions[[#This Row],[signup_date]]),MONTH(subscriptions[[#This Row],[signup_date]]),1)</f>
        <v>45627</v>
      </c>
      <c r="L162" t="s">
        <v>32</v>
      </c>
      <c r="M162" s="1">
        <v>45766</v>
      </c>
      <c r="N162" s="1">
        <f>IF(subscriptions[[#This Row],[churn_date]]="","",DATE(YEAR(subscriptions[[#This Row],[churn_date]]),MONTH(subscriptions[[#This Row],[churn_date]]),1))</f>
        <v>45748</v>
      </c>
      <c r="O162" t="s">
        <v>33</v>
      </c>
      <c r="P162">
        <v>0</v>
      </c>
      <c r="Q162">
        <v>6</v>
      </c>
      <c r="R162">
        <v>28</v>
      </c>
      <c r="S162" t="str">
        <f t="shared" si="2"/>
        <v>Moderate Usage</v>
      </c>
      <c r="T162" t="s">
        <v>34</v>
      </c>
    </row>
    <row r="163" spans="1:20" x14ac:dyDescent="0.3">
      <c r="A163" t="s">
        <v>227</v>
      </c>
      <c r="B163" t="s">
        <v>40</v>
      </c>
      <c r="C163" t="s">
        <v>27</v>
      </c>
      <c r="D163" t="s">
        <v>41</v>
      </c>
      <c r="E163" t="s">
        <v>42</v>
      </c>
      <c r="F163">
        <v>150</v>
      </c>
      <c r="G163">
        <v>677.15</v>
      </c>
      <c r="H163" t="s">
        <v>71</v>
      </c>
      <c r="I163" t="s">
        <v>48</v>
      </c>
      <c r="J163" s="1">
        <v>44782</v>
      </c>
      <c r="K163" s="1">
        <f>DATE(YEAR(subscriptions[[#This Row],[signup_date]]),MONTH(subscriptions[[#This Row],[signup_date]]),1)</f>
        <v>44774</v>
      </c>
      <c r="L163" t="s">
        <v>32</v>
      </c>
      <c r="M163" s="1">
        <v>45256</v>
      </c>
      <c r="N163" s="1">
        <f>IF(subscriptions[[#This Row],[churn_date]]="","",DATE(YEAR(subscriptions[[#This Row],[churn_date]]),MONTH(subscriptions[[#This Row],[churn_date]]),1))</f>
        <v>45231</v>
      </c>
      <c r="O163" t="s">
        <v>64</v>
      </c>
      <c r="P163">
        <v>0</v>
      </c>
      <c r="Q163">
        <v>3</v>
      </c>
      <c r="R163">
        <v>44</v>
      </c>
      <c r="S163" t="str">
        <f t="shared" si="2"/>
        <v>Moderate Usage</v>
      </c>
      <c r="T163" t="s">
        <v>34</v>
      </c>
    </row>
    <row r="164" spans="1:20" x14ac:dyDescent="0.3">
      <c r="A164" t="s">
        <v>228</v>
      </c>
      <c r="B164" t="s">
        <v>40</v>
      </c>
      <c r="C164" t="s">
        <v>36</v>
      </c>
      <c r="D164" t="s">
        <v>50</v>
      </c>
      <c r="E164" t="s">
        <v>53</v>
      </c>
      <c r="F164">
        <v>2</v>
      </c>
      <c r="G164">
        <v>28.35</v>
      </c>
      <c r="H164" t="s">
        <v>71</v>
      </c>
      <c r="I164" t="s">
        <v>66</v>
      </c>
      <c r="J164" s="1">
        <v>45685</v>
      </c>
      <c r="K164" s="1">
        <f>DATE(YEAR(subscriptions[[#This Row],[signup_date]]),MONTH(subscriptions[[#This Row],[signup_date]]),1)</f>
        <v>45658</v>
      </c>
      <c r="L164" t="s">
        <v>34</v>
      </c>
      <c r="M164" s="1"/>
      <c r="N164" s="1" t="str">
        <f>IF(subscriptions[[#This Row],[churn_date]]="","",DATE(YEAR(subscriptions[[#This Row],[churn_date]]),MONTH(subscriptions[[#This Row],[churn_date]]),1))</f>
        <v/>
      </c>
      <c r="O164" t="s">
        <v>38</v>
      </c>
      <c r="P164">
        <v>3</v>
      </c>
      <c r="Q164">
        <v>8</v>
      </c>
      <c r="R164">
        <v>20</v>
      </c>
      <c r="S164" t="str">
        <f t="shared" si="2"/>
        <v>Very Low Usage</v>
      </c>
      <c r="T164" t="s">
        <v>34</v>
      </c>
    </row>
    <row r="165" spans="1:20" x14ac:dyDescent="0.3">
      <c r="A165" t="s">
        <v>229</v>
      </c>
      <c r="B165" t="s">
        <v>40</v>
      </c>
      <c r="C165" t="s">
        <v>36</v>
      </c>
      <c r="D165" t="s">
        <v>63</v>
      </c>
      <c r="E165" t="s">
        <v>42</v>
      </c>
      <c r="F165">
        <v>220</v>
      </c>
      <c r="G165">
        <v>834.4</v>
      </c>
      <c r="H165" t="s">
        <v>30</v>
      </c>
      <c r="I165" t="s">
        <v>48</v>
      </c>
      <c r="J165" s="1">
        <v>45157</v>
      </c>
      <c r="K165" s="1">
        <f>DATE(YEAR(subscriptions[[#This Row],[signup_date]]),MONTH(subscriptions[[#This Row],[signup_date]]),1)</f>
        <v>45139</v>
      </c>
      <c r="L165" t="s">
        <v>32</v>
      </c>
      <c r="M165" s="1">
        <v>45819</v>
      </c>
      <c r="N165" s="1">
        <f>IF(subscriptions[[#This Row],[churn_date]]="","",DATE(YEAR(subscriptions[[#This Row],[churn_date]]),MONTH(subscriptions[[#This Row],[churn_date]]),1))</f>
        <v>45809</v>
      </c>
      <c r="O165" t="s">
        <v>61</v>
      </c>
      <c r="P165">
        <v>4</v>
      </c>
      <c r="Q165">
        <v>3</v>
      </c>
      <c r="R165">
        <v>12</v>
      </c>
      <c r="S165" t="str">
        <f t="shared" si="2"/>
        <v>Very Low Usage</v>
      </c>
      <c r="T165" t="s">
        <v>34</v>
      </c>
    </row>
    <row r="166" spans="1:20" x14ac:dyDescent="0.3">
      <c r="A166" t="s">
        <v>230</v>
      </c>
      <c r="B166" t="s">
        <v>40</v>
      </c>
      <c r="C166" t="s">
        <v>36</v>
      </c>
      <c r="D166" t="s">
        <v>46</v>
      </c>
      <c r="E166" t="s">
        <v>56</v>
      </c>
      <c r="F166">
        <v>34</v>
      </c>
      <c r="G166">
        <v>146.66999999999999</v>
      </c>
      <c r="H166" t="s">
        <v>30</v>
      </c>
      <c r="I166" t="s">
        <v>66</v>
      </c>
      <c r="J166" s="1">
        <v>45488</v>
      </c>
      <c r="K166" s="1">
        <f>DATE(YEAR(subscriptions[[#This Row],[signup_date]]),MONTH(subscriptions[[#This Row],[signup_date]]),1)</f>
        <v>45474</v>
      </c>
      <c r="L166" t="s">
        <v>34</v>
      </c>
      <c r="M166" s="1"/>
      <c r="N166" s="1" t="str">
        <f>IF(subscriptions[[#This Row],[churn_date]]="","",DATE(YEAR(subscriptions[[#This Row],[churn_date]]),MONTH(subscriptions[[#This Row],[churn_date]]),1))</f>
        <v/>
      </c>
      <c r="O166" t="s">
        <v>38</v>
      </c>
      <c r="P166">
        <v>12</v>
      </c>
      <c r="Q166">
        <v>5</v>
      </c>
      <c r="R166">
        <v>60</v>
      </c>
      <c r="S166" t="str">
        <f t="shared" si="2"/>
        <v>High Usage</v>
      </c>
      <c r="T166" t="s">
        <v>34</v>
      </c>
    </row>
    <row r="167" spans="1:20" x14ac:dyDescent="0.3">
      <c r="A167" t="s">
        <v>231</v>
      </c>
      <c r="B167" t="s">
        <v>40</v>
      </c>
      <c r="C167" t="s">
        <v>27</v>
      </c>
      <c r="D167" t="s">
        <v>63</v>
      </c>
      <c r="E167" t="s">
        <v>53</v>
      </c>
      <c r="F167">
        <v>1</v>
      </c>
      <c r="G167">
        <v>29</v>
      </c>
      <c r="H167" t="s">
        <v>109</v>
      </c>
      <c r="I167" t="s">
        <v>48</v>
      </c>
      <c r="J167" s="1">
        <v>45187</v>
      </c>
      <c r="K167" s="1">
        <f>DATE(YEAR(subscriptions[[#This Row],[signup_date]]),MONTH(subscriptions[[#This Row],[signup_date]]),1)</f>
        <v>45170</v>
      </c>
      <c r="L167" t="s">
        <v>32</v>
      </c>
      <c r="M167" s="1">
        <v>45682</v>
      </c>
      <c r="N167" s="1">
        <f>IF(subscriptions[[#This Row],[churn_date]]="","",DATE(YEAR(subscriptions[[#This Row],[churn_date]]),MONTH(subscriptions[[#This Row],[churn_date]]),1))</f>
        <v>45658</v>
      </c>
      <c r="O167" t="s">
        <v>74</v>
      </c>
      <c r="P167">
        <v>7</v>
      </c>
      <c r="Q167">
        <v>5</v>
      </c>
      <c r="R167">
        <v>20</v>
      </c>
      <c r="S167" t="str">
        <f t="shared" si="2"/>
        <v>Very Low Usage</v>
      </c>
      <c r="T167" t="s">
        <v>34</v>
      </c>
    </row>
    <row r="168" spans="1:20" x14ac:dyDescent="0.3">
      <c r="A168" t="s">
        <v>232</v>
      </c>
      <c r="B168" t="s">
        <v>40</v>
      </c>
      <c r="C168" t="s">
        <v>36</v>
      </c>
      <c r="D168" t="s">
        <v>79</v>
      </c>
      <c r="E168" t="s">
        <v>29</v>
      </c>
      <c r="F168">
        <v>40</v>
      </c>
      <c r="G168">
        <v>168.85</v>
      </c>
      <c r="H168" t="s">
        <v>30</v>
      </c>
      <c r="I168" t="s">
        <v>31</v>
      </c>
      <c r="J168" s="1">
        <v>45650</v>
      </c>
      <c r="K168" s="1">
        <f>DATE(YEAR(subscriptions[[#This Row],[signup_date]]),MONTH(subscriptions[[#This Row],[signup_date]]),1)</f>
        <v>45627</v>
      </c>
      <c r="L168" t="s">
        <v>34</v>
      </c>
      <c r="M168" s="1"/>
      <c r="N168" s="1" t="str">
        <f>IF(subscriptions[[#This Row],[churn_date]]="","",DATE(YEAR(subscriptions[[#This Row],[churn_date]]),MONTH(subscriptions[[#This Row],[churn_date]]),1))</f>
        <v/>
      </c>
      <c r="O168" t="s">
        <v>38</v>
      </c>
      <c r="P168">
        <v>10</v>
      </c>
      <c r="Q168">
        <v>6</v>
      </c>
      <c r="R168">
        <v>35</v>
      </c>
      <c r="S168" t="str">
        <f t="shared" si="2"/>
        <v>Moderate Usage</v>
      </c>
      <c r="T168" t="s">
        <v>34</v>
      </c>
    </row>
    <row r="169" spans="1:20" x14ac:dyDescent="0.3">
      <c r="A169" t="s">
        <v>233</v>
      </c>
      <c r="B169" t="s">
        <v>45</v>
      </c>
      <c r="C169" t="s">
        <v>27</v>
      </c>
      <c r="D169" t="s">
        <v>79</v>
      </c>
      <c r="E169" t="s">
        <v>47</v>
      </c>
      <c r="F169">
        <v>29</v>
      </c>
      <c r="G169">
        <v>1034.8</v>
      </c>
      <c r="H169" t="s">
        <v>43</v>
      </c>
      <c r="I169" t="s">
        <v>48</v>
      </c>
      <c r="J169" s="1">
        <v>45021</v>
      </c>
      <c r="K169" s="1">
        <f>DATE(YEAR(subscriptions[[#This Row],[signup_date]]),MONTH(subscriptions[[#This Row],[signup_date]]),1)</f>
        <v>45017</v>
      </c>
      <c r="L169" t="s">
        <v>32</v>
      </c>
      <c r="M169" s="1">
        <v>45045</v>
      </c>
      <c r="N169" s="1">
        <f>IF(subscriptions[[#This Row],[churn_date]]="","",DATE(YEAR(subscriptions[[#This Row],[churn_date]]),MONTH(subscriptions[[#This Row],[churn_date]]),1))</f>
        <v>45017</v>
      </c>
      <c r="O169" t="s">
        <v>74</v>
      </c>
      <c r="P169">
        <v>12</v>
      </c>
      <c r="Q169">
        <v>6</v>
      </c>
      <c r="R169">
        <v>45</v>
      </c>
      <c r="S169" t="str">
        <f t="shared" si="2"/>
        <v>Moderate Usage</v>
      </c>
      <c r="T169" t="s">
        <v>34</v>
      </c>
    </row>
    <row r="170" spans="1:20" x14ac:dyDescent="0.3">
      <c r="A170" t="s">
        <v>234</v>
      </c>
      <c r="B170" t="s">
        <v>45</v>
      </c>
      <c r="C170" t="s">
        <v>36</v>
      </c>
      <c r="D170" t="s">
        <v>90</v>
      </c>
      <c r="E170" t="s">
        <v>47</v>
      </c>
      <c r="F170">
        <v>5</v>
      </c>
      <c r="G170">
        <v>270.64</v>
      </c>
      <c r="H170" t="s">
        <v>71</v>
      </c>
      <c r="I170" t="s">
        <v>31</v>
      </c>
      <c r="J170" s="1">
        <v>45266</v>
      </c>
      <c r="K170" s="1">
        <f>DATE(YEAR(subscriptions[[#This Row],[signup_date]]),MONTH(subscriptions[[#This Row],[signup_date]]),1)</f>
        <v>45261</v>
      </c>
      <c r="L170" t="s">
        <v>34</v>
      </c>
      <c r="M170" s="1"/>
      <c r="N170" s="1" t="str">
        <f>IF(subscriptions[[#This Row],[churn_date]]="","",DATE(YEAR(subscriptions[[#This Row],[churn_date]]),MONTH(subscriptions[[#This Row],[churn_date]]),1))</f>
        <v/>
      </c>
      <c r="O170" t="s">
        <v>38</v>
      </c>
      <c r="P170">
        <v>0</v>
      </c>
      <c r="Q170">
        <v>1</v>
      </c>
      <c r="R170">
        <v>55</v>
      </c>
      <c r="S170" t="str">
        <f t="shared" si="2"/>
        <v>High Usage</v>
      </c>
      <c r="T170" t="s">
        <v>32</v>
      </c>
    </row>
    <row r="171" spans="1:20" x14ac:dyDescent="0.3">
      <c r="A171" t="s">
        <v>235</v>
      </c>
      <c r="B171" t="s">
        <v>45</v>
      </c>
      <c r="C171" t="s">
        <v>27</v>
      </c>
      <c r="D171" t="s">
        <v>60</v>
      </c>
      <c r="E171" t="s">
        <v>47</v>
      </c>
      <c r="F171">
        <v>32</v>
      </c>
      <c r="G171">
        <v>1124.3499999999999</v>
      </c>
      <c r="H171" t="s">
        <v>109</v>
      </c>
      <c r="I171" t="s">
        <v>66</v>
      </c>
      <c r="J171" s="1">
        <v>45582</v>
      </c>
      <c r="K171" s="1">
        <f>DATE(YEAR(subscriptions[[#This Row],[signup_date]]),MONTH(subscriptions[[#This Row],[signup_date]]),1)</f>
        <v>45566</v>
      </c>
      <c r="L171" t="s">
        <v>34</v>
      </c>
      <c r="M171" s="1"/>
      <c r="N171" s="1" t="str">
        <f>IF(subscriptions[[#This Row],[churn_date]]="","",DATE(YEAR(subscriptions[[#This Row],[churn_date]]),MONTH(subscriptions[[#This Row],[churn_date]]),1))</f>
        <v/>
      </c>
      <c r="O171" t="s">
        <v>38</v>
      </c>
      <c r="P171">
        <v>1</v>
      </c>
      <c r="Q171">
        <v>1</v>
      </c>
      <c r="R171">
        <v>91</v>
      </c>
      <c r="S171" t="str">
        <f t="shared" si="2"/>
        <v>Very High Usage</v>
      </c>
      <c r="T171" t="s">
        <v>34</v>
      </c>
    </row>
    <row r="172" spans="1:20" x14ac:dyDescent="0.3">
      <c r="A172" t="s">
        <v>236</v>
      </c>
      <c r="B172" t="s">
        <v>40</v>
      </c>
      <c r="C172" t="s">
        <v>27</v>
      </c>
      <c r="D172" t="s">
        <v>41</v>
      </c>
      <c r="E172" t="s">
        <v>53</v>
      </c>
      <c r="F172">
        <v>7</v>
      </c>
      <c r="G172">
        <v>55.1</v>
      </c>
      <c r="H172" t="s">
        <v>30</v>
      </c>
      <c r="I172" t="s">
        <v>48</v>
      </c>
      <c r="J172" s="1">
        <v>44822</v>
      </c>
      <c r="K172" s="1">
        <f>DATE(YEAR(subscriptions[[#This Row],[signup_date]]),MONTH(subscriptions[[#This Row],[signup_date]]),1)</f>
        <v>44805</v>
      </c>
      <c r="L172" t="s">
        <v>32</v>
      </c>
      <c r="M172" s="1">
        <v>45138</v>
      </c>
      <c r="N172" s="1">
        <f>IF(subscriptions[[#This Row],[churn_date]]="","",DATE(YEAR(subscriptions[[#This Row],[churn_date]]),MONTH(subscriptions[[#This Row],[churn_date]]),1))</f>
        <v>45108</v>
      </c>
      <c r="O172" t="s">
        <v>64</v>
      </c>
      <c r="P172">
        <v>3</v>
      </c>
      <c r="Q172">
        <v>2</v>
      </c>
      <c r="R172">
        <v>24</v>
      </c>
      <c r="S172" t="str">
        <f t="shared" si="2"/>
        <v>Moderate Usage</v>
      </c>
      <c r="T172" t="s">
        <v>34</v>
      </c>
    </row>
    <row r="173" spans="1:20" x14ac:dyDescent="0.3">
      <c r="A173" t="s">
        <v>237</v>
      </c>
      <c r="B173" t="s">
        <v>45</v>
      </c>
      <c r="C173" t="s">
        <v>27</v>
      </c>
      <c r="D173" t="s">
        <v>63</v>
      </c>
      <c r="E173" t="s">
        <v>53</v>
      </c>
      <c r="F173">
        <v>5</v>
      </c>
      <c r="G173">
        <v>318.39999999999998</v>
      </c>
      <c r="H173" t="s">
        <v>54</v>
      </c>
      <c r="I173" t="s">
        <v>31</v>
      </c>
      <c r="J173" s="1">
        <v>44752</v>
      </c>
      <c r="K173" s="1">
        <f>DATE(YEAR(subscriptions[[#This Row],[signup_date]]),MONTH(subscriptions[[#This Row],[signup_date]]),1)</f>
        <v>44743</v>
      </c>
      <c r="L173" t="s">
        <v>32</v>
      </c>
      <c r="M173" s="1">
        <v>45420</v>
      </c>
      <c r="N173" s="1">
        <f>IF(subscriptions[[#This Row],[churn_date]]="","",DATE(YEAR(subscriptions[[#This Row],[churn_date]]),MONTH(subscriptions[[#This Row],[churn_date]]),1))</f>
        <v>45413</v>
      </c>
      <c r="O173" t="s">
        <v>74</v>
      </c>
      <c r="P173">
        <v>14</v>
      </c>
      <c r="Q173">
        <v>3</v>
      </c>
      <c r="R173">
        <v>38</v>
      </c>
      <c r="S173" t="str">
        <f t="shared" si="2"/>
        <v>Moderate Usage</v>
      </c>
      <c r="T173" t="s">
        <v>34</v>
      </c>
    </row>
    <row r="174" spans="1:20" x14ac:dyDescent="0.3">
      <c r="A174" t="s">
        <v>238</v>
      </c>
      <c r="B174" t="s">
        <v>26</v>
      </c>
      <c r="C174" t="s">
        <v>36</v>
      </c>
      <c r="D174" t="s">
        <v>60</v>
      </c>
      <c r="E174" t="s">
        <v>53</v>
      </c>
      <c r="F174">
        <v>6</v>
      </c>
      <c r="G174">
        <v>117.51</v>
      </c>
      <c r="H174" t="s">
        <v>109</v>
      </c>
      <c r="I174" t="s">
        <v>66</v>
      </c>
      <c r="J174" s="1">
        <v>45549</v>
      </c>
      <c r="K174" s="1">
        <f>DATE(YEAR(subscriptions[[#This Row],[signup_date]]),MONTH(subscriptions[[#This Row],[signup_date]]),1)</f>
        <v>45536</v>
      </c>
      <c r="L174" t="s">
        <v>34</v>
      </c>
      <c r="M174" s="1"/>
      <c r="N174" s="1" t="str">
        <f>IF(subscriptions[[#This Row],[churn_date]]="","",DATE(YEAR(subscriptions[[#This Row],[churn_date]]),MONTH(subscriptions[[#This Row],[churn_date]]),1))</f>
        <v/>
      </c>
      <c r="O174" t="s">
        <v>38</v>
      </c>
      <c r="P174">
        <v>12</v>
      </c>
      <c r="Q174">
        <v>9</v>
      </c>
      <c r="R174">
        <v>38</v>
      </c>
      <c r="S174" t="str">
        <f t="shared" si="2"/>
        <v>Moderate Usage</v>
      </c>
      <c r="T174" t="s">
        <v>34</v>
      </c>
    </row>
    <row r="175" spans="1:20" x14ac:dyDescent="0.3">
      <c r="A175" t="s">
        <v>239</v>
      </c>
      <c r="B175" t="s">
        <v>82</v>
      </c>
      <c r="C175" t="s">
        <v>36</v>
      </c>
      <c r="D175" t="s">
        <v>73</v>
      </c>
      <c r="E175" t="s">
        <v>56</v>
      </c>
      <c r="F175">
        <v>65</v>
      </c>
      <c r="G175">
        <v>4495.99</v>
      </c>
      <c r="H175" t="s">
        <v>71</v>
      </c>
      <c r="I175" t="s">
        <v>31</v>
      </c>
      <c r="J175" s="1">
        <v>45626</v>
      </c>
      <c r="K175" s="1">
        <f>DATE(YEAR(subscriptions[[#This Row],[signup_date]]),MONTH(subscriptions[[#This Row],[signup_date]]),1)</f>
        <v>45597</v>
      </c>
      <c r="L175" t="s">
        <v>34</v>
      </c>
      <c r="M175" s="1"/>
      <c r="N175" s="1" t="str">
        <f>IF(subscriptions[[#This Row],[churn_date]]="","",DATE(YEAR(subscriptions[[#This Row],[churn_date]]),MONTH(subscriptions[[#This Row],[churn_date]]),1))</f>
        <v/>
      </c>
      <c r="O175" t="s">
        <v>38</v>
      </c>
      <c r="P175">
        <v>10</v>
      </c>
      <c r="Q175">
        <v>2</v>
      </c>
      <c r="R175">
        <v>91</v>
      </c>
      <c r="S175" t="str">
        <f t="shared" si="2"/>
        <v>Very High Usage</v>
      </c>
      <c r="T175" t="s">
        <v>34</v>
      </c>
    </row>
    <row r="176" spans="1:20" x14ac:dyDescent="0.3">
      <c r="A176" t="s">
        <v>240</v>
      </c>
      <c r="B176" t="s">
        <v>45</v>
      </c>
      <c r="C176" t="s">
        <v>36</v>
      </c>
      <c r="D176" t="s">
        <v>90</v>
      </c>
      <c r="E176" t="s">
        <v>29</v>
      </c>
      <c r="F176">
        <v>50</v>
      </c>
      <c r="G176">
        <v>1412.4</v>
      </c>
      <c r="H176" t="s">
        <v>37</v>
      </c>
      <c r="I176" t="s">
        <v>31</v>
      </c>
      <c r="J176" s="1">
        <v>44845</v>
      </c>
      <c r="K176" s="1">
        <f>DATE(YEAR(subscriptions[[#This Row],[signup_date]]),MONTH(subscriptions[[#This Row],[signup_date]]),1)</f>
        <v>44835</v>
      </c>
      <c r="L176" t="s">
        <v>34</v>
      </c>
      <c r="M176" s="1"/>
      <c r="N176" s="1" t="str">
        <f>IF(subscriptions[[#This Row],[churn_date]]="","",DATE(YEAR(subscriptions[[#This Row],[churn_date]]),MONTH(subscriptions[[#This Row],[churn_date]]),1))</f>
        <v/>
      </c>
      <c r="O176" t="s">
        <v>38</v>
      </c>
      <c r="P176">
        <v>12</v>
      </c>
      <c r="Q176">
        <v>8</v>
      </c>
      <c r="R176">
        <v>26</v>
      </c>
      <c r="S176" t="str">
        <f t="shared" si="2"/>
        <v>Moderate Usage</v>
      </c>
      <c r="T176" t="s">
        <v>34</v>
      </c>
    </row>
    <row r="177" spans="1:20" x14ac:dyDescent="0.3">
      <c r="A177" t="s">
        <v>241</v>
      </c>
      <c r="B177" t="s">
        <v>40</v>
      </c>
      <c r="C177" t="s">
        <v>27</v>
      </c>
      <c r="D177" t="s">
        <v>60</v>
      </c>
      <c r="E177" t="s">
        <v>42</v>
      </c>
      <c r="F177">
        <v>205</v>
      </c>
      <c r="G177">
        <v>916.4</v>
      </c>
      <c r="H177" t="s">
        <v>109</v>
      </c>
      <c r="I177" t="s">
        <v>31</v>
      </c>
      <c r="J177" s="1">
        <v>45144</v>
      </c>
      <c r="K177" s="1">
        <f>DATE(YEAR(subscriptions[[#This Row],[signup_date]]),MONTH(subscriptions[[#This Row],[signup_date]]),1)</f>
        <v>45139</v>
      </c>
      <c r="L177" t="s">
        <v>32</v>
      </c>
      <c r="M177" s="1">
        <v>45180</v>
      </c>
      <c r="N177" s="1">
        <f>IF(subscriptions[[#This Row],[churn_date]]="","",DATE(YEAR(subscriptions[[#This Row],[churn_date]]),MONTH(subscriptions[[#This Row],[churn_date]]),1))</f>
        <v>45170</v>
      </c>
      <c r="O177" t="s">
        <v>64</v>
      </c>
      <c r="P177">
        <v>7</v>
      </c>
      <c r="Q177">
        <v>3</v>
      </c>
      <c r="R177">
        <v>19</v>
      </c>
      <c r="S177" t="str">
        <f t="shared" si="2"/>
        <v>Very Low Usage</v>
      </c>
      <c r="T177" t="s">
        <v>34</v>
      </c>
    </row>
    <row r="178" spans="1:20" x14ac:dyDescent="0.3">
      <c r="A178" t="s">
        <v>242</v>
      </c>
      <c r="B178" t="s">
        <v>26</v>
      </c>
      <c r="C178" t="s">
        <v>27</v>
      </c>
      <c r="D178" t="s">
        <v>52</v>
      </c>
      <c r="E178" t="s">
        <v>42</v>
      </c>
      <c r="F178">
        <v>239</v>
      </c>
      <c r="G178">
        <v>2899.3</v>
      </c>
      <c r="H178" t="s">
        <v>43</v>
      </c>
      <c r="I178" t="s">
        <v>66</v>
      </c>
      <c r="J178" s="1">
        <v>45632</v>
      </c>
      <c r="K178" s="1">
        <f>DATE(YEAR(subscriptions[[#This Row],[signup_date]]),MONTH(subscriptions[[#This Row],[signup_date]]),1)</f>
        <v>45627</v>
      </c>
      <c r="L178" t="s">
        <v>32</v>
      </c>
      <c r="M178" s="1">
        <v>45970</v>
      </c>
      <c r="N178" s="1">
        <f>IF(subscriptions[[#This Row],[churn_date]]="","",DATE(YEAR(subscriptions[[#This Row],[churn_date]]),MONTH(subscriptions[[#This Row],[churn_date]]),1))</f>
        <v>45962</v>
      </c>
      <c r="O178" t="s">
        <v>57</v>
      </c>
      <c r="P178">
        <v>4</v>
      </c>
      <c r="Q178">
        <v>6</v>
      </c>
      <c r="R178">
        <v>14</v>
      </c>
      <c r="S178" t="str">
        <f t="shared" si="2"/>
        <v>Very Low Usage</v>
      </c>
      <c r="T178" t="s">
        <v>34</v>
      </c>
    </row>
    <row r="179" spans="1:20" x14ac:dyDescent="0.3">
      <c r="A179" t="s">
        <v>243</v>
      </c>
      <c r="B179" t="s">
        <v>26</v>
      </c>
      <c r="C179" t="s">
        <v>36</v>
      </c>
      <c r="D179" t="s">
        <v>50</v>
      </c>
      <c r="E179" t="s">
        <v>47</v>
      </c>
      <c r="F179">
        <v>31</v>
      </c>
      <c r="G179">
        <v>369.33</v>
      </c>
      <c r="H179" t="s">
        <v>37</v>
      </c>
      <c r="I179" t="s">
        <v>66</v>
      </c>
      <c r="J179" s="1">
        <v>45546</v>
      </c>
      <c r="K179" s="1">
        <f>DATE(YEAR(subscriptions[[#This Row],[signup_date]]),MONTH(subscriptions[[#This Row],[signup_date]]),1)</f>
        <v>45536</v>
      </c>
      <c r="L179" t="s">
        <v>34</v>
      </c>
      <c r="M179" s="1"/>
      <c r="N179" s="1" t="str">
        <f>IF(subscriptions[[#This Row],[churn_date]]="","",DATE(YEAR(subscriptions[[#This Row],[churn_date]]),MONTH(subscriptions[[#This Row],[churn_date]]),1))</f>
        <v/>
      </c>
      <c r="O179" t="s">
        <v>38</v>
      </c>
      <c r="P179">
        <v>4</v>
      </c>
      <c r="Q179">
        <v>6</v>
      </c>
      <c r="R179">
        <v>81</v>
      </c>
      <c r="S179" t="str">
        <f t="shared" si="2"/>
        <v>Very High Usage</v>
      </c>
      <c r="T179" t="s">
        <v>34</v>
      </c>
    </row>
    <row r="180" spans="1:20" x14ac:dyDescent="0.3">
      <c r="A180" t="s">
        <v>244</v>
      </c>
      <c r="B180" t="s">
        <v>40</v>
      </c>
      <c r="C180" t="s">
        <v>27</v>
      </c>
      <c r="D180" t="s">
        <v>90</v>
      </c>
      <c r="E180" t="s">
        <v>29</v>
      </c>
      <c r="F180">
        <v>67</v>
      </c>
      <c r="G180">
        <v>316.10000000000002</v>
      </c>
      <c r="H180" t="s">
        <v>54</v>
      </c>
      <c r="I180" t="s">
        <v>48</v>
      </c>
      <c r="J180" s="1">
        <v>45468</v>
      </c>
      <c r="K180" s="1">
        <f>DATE(YEAR(subscriptions[[#This Row],[signup_date]]),MONTH(subscriptions[[#This Row],[signup_date]]),1)</f>
        <v>45444</v>
      </c>
      <c r="L180" t="s">
        <v>34</v>
      </c>
      <c r="M180" s="1"/>
      <c r="N180" s="1" t="str">
        <f>IF(subscriptions[[#This Row],[churn_date]]="","",DATE(YEAR(subscriptions[[#This Row],[churn_date]]),MONTH(subscriptions[[#This Row],[churn_date]]),1))</f>
        <v/>
      </c>
      <c r="O180" t="s">
        <v>38</v>
      </c>
      <c r="P180">
        <v>3</v>
      </c>
      <c r="Q180">
        <v>10</v>
      </c>
      <c r="R180">
        <v>26</v>
      </c>
      <c r="S180" t="str">
        <f t="shared" si="2"/>
        <v>Moderate Usage</v>
      </c>
      <c r="T180" t="s">
        <v>34</v>
      </c>
    </row>
    <row r="181" spans="1:20" x14ac:dyDescent="0.3">
      <c r="A181" t="s">
        <v>245</v>
      </c>
      <c r="B181" t="s">
        <v>26</v>
      </c>
      <c r="C181" t="s">
        <v>36</v>
      </c>
      <c r="D181" t="s">
        <v>46</v>
      </c>
      <c r="E181" t="s">
        <v>29</v>
      </c>
      <c r="F181">
        <v>29</v>
      </c>
      <c r="G181">
        <v>349.18</v>
      </c>
      <c r="H181" t="s">
        <v>54</v>
      </c>
      <c r="I181" t="s">
        <v>31</v>
      </c>
      <c r="J181" s="1">
        <v>44846</v>
      </c>
      <c r="K181" s="1">
        <f>DATE(YEAR(subscriptions[[#This Row],[signup_date]]),MONTH(subscriptions[[#This Row],[signup_date]]),1)</f>
        <v>44835</v>
      </c>
      <c r="L181" t="s">
        <v>32</v>
      </c>
      <c r="M181" s="1">
        <v>45741</v>
      </c>
      <c r="N181" s="1">
        <f>IF(subscriptions[[#This Row],[churn_date]]="","",DATE(YEAR(subscriptions[[#This Row],[churn_date]]),MONTH(subscriptions[[#This Row],[churn_date]]),1))</f>
        <v>45717</v>
      </c>
      <c r="O181" t="s">
        <v>64</v>
      </c>
      <c r="P181">
        <v>2</v>
      </c>
      <c r="Q181">
        <v>5</v>
      </c>
      <c r="R181">
        <v>42</v>
      </c>
      <c r="S181" t="str">
        <f t="shared" si="2"/>
        <v>Moderate Usage</v>
      </c>
      <c r="T181" t="s">
        <v>34</v>
      </c>
    </row>
    <row r="182" spans="1:20" x14ac:dyDescent="0.3">
      <c r="A182" t="s">
        <v>246</v>
      </c>
      <c r="B182" t="s">
        <v>26</v>
      </c>
      <c r="C182" t="s">
        <v>27</v>
      </c>
      <c r="D182" t="s">
        <v>73</v>
      </c>
      <c r="E182" t="s">
        <v>53</v>
      </c>
      <c r="F182">
        <v>4</v>
      </c>
      <c r="G182">
        <v>114.55</v>
      </c>
      <c r="H182" t="s">
        <v>71</v>
      </c>
      <c r="I182" t="s">
        <v>31</v>
      </c>
      <c r="J182" s="1">
        <v>45330</v>
      </c>
      <c r="K182" s="1">
        <f>DATE(YEAR(subscriptions[[#This Row],[signup_date]]),MONTH(subscriptions[[#This Row],[signup_date]]),1)</f>
        <v>45323</v>
      </c>
      <c r="L182" t="s">
        <v>32</v>
      </c>
      <c r="M182" s="1">
        <v>45405</v>
      </c>
      <c r="N182" s="1">
        <f>IF(subscriptions[[#This Row],[churn_date]]="","",DATE(YEAR(subscriptions[[#This Row],[churn_date]]),MONTH(subscriptions[[#This Row],[churn_date]]),1))</f>
        <v>45383</v>
      </c>
      <c r="O182" t="s">
        <v>33</v>
      </c>
      <c r="P182">
        <v>9</v>
      </c>
      <c r="Q182">
        <v>4</v>
      </c>
      <c r="R182">
        <v>44</v>
      </c>
      <c r="S182" t="str">
        <f t="shared" si="2"/>
        <v>Moderate Usage</v>
      </c>
      <c r="T182" t="s">
        <v>34</v>
      </c>
    </row>
    <row r="183" spans="1:20" x14ac:dyDescent="0.3">
      <c r="A183" t="s">
        <v>247</v>
      </c>
      <c r="B183" t="s">
        <v>26</v>
      </c>
      <c r="C183" t="s">
        <v>36</v>
      </c>
      <c r="D183" t="s">
        <v>46</v>
      </c>
      <c r="E183" t="s">
        <v>29</v>
      </c>
      <c r="F183">
        <v>76</v>
      </c>
      <c r="G183">
        <v>822.59</v>
      </c>
      <c r="H183" t="s">
        <v>43</v>
      </c>
      <c r="I183" t="s">
        <v>48</v>
      </c>
      <c r="J183" s="1">
        <v>45414</v>
      </c>
      <c r="K183" s="1">
        <f>DATE(YEAR(subscriptions[[#This Row],[signup_date]]),MONTH(subscriptions[[#This Row],[signup_date]]),1)</f>
        <v>45413</v>
      </c>
      <c r="L183" t="s">
        <v>34</v>
      </c>
      <c r="M183" s="1"/>
      <c r="N183" s="1" t="str">
        <f>IF(subscriptions[[#This Row],[churn_date]]="","",DATE(YEAR(subscriptions[[#This Row],[churn_date]]),MONTH(subscriptions[[#This Row],[churn_date]]),1))</f>
        <v/>
      </c>
      <c r="O183" t="s">
        <v>38</v>
      </c>
      <c r="P183">
        <v>9</v>
      </c>
      <c r="Q183">
        <v>6</v>
      </c>
      <c r="R183">
        <v>37</v>
      </c>
      <c r="S183" t="str">
        <f t="shared" si="2"/>
        <v>Moderate Usage</v>
      </c>
      <c r="T183" t="s">
        <v>34</v>
      </c>
    </row>
    <row r="184" spans="1:20" x14ac:dyDescent="0.3">
      <c r="A184" t="s">
        <v>248</v>
      </c>
      <c r="B184" t="s">
        <v>40</v>
      </c>
      <c r="C184" t="s">
        <v>36</v>
      </c>
      <c r="D184" t="s">
        <v>73</v>
      </c>
      <c r="E184" t="s">
        <v>56</v>
      </c>
      <c r="F184">
        <v>83</v>
      </c>
      <c r="G184">
        <v>327.84</v>
      </c>
      <c r="H184" t="s">
        <v>43</v>
      </c>
      <c r="I184" t="s">
        <v>31</v>
      </c>
      <c r="J184" s="1">
        <v>45200</v>
      </c>
      <c r="K184" s="1">
        <f>DATE(YEAR(subscriptions[[#This Row],[signup_date]]),MONTH(subscriptions[[#This Row],[signup_date]]),1)</f>
        <v>45200</v>
      </c>
      <c r="L184" t="s">
        <v>32</v>
      </c>
      <c r="M184" s="1">
        <v>45663</v>
      </c>
      <c r="N184" s="1">
        <f>IF(subscriptions[[#This Row],[churn_date]]="","",DATE(YEAR(subscriptions[[#This Row],[churn_date]]),MONTH(subscriptions[[#This Row],[churn_date]]),1))</f>
        <v>45658</v>
      </c>
      <c r="O184" t="s">
        <v>64</v>
      </c>
      <c r="P184">
        <v>8</v>
      </c>
      <c r="Q184">
        <v>4</v>
      </c>
      <c r="R184">
        <v>26</v>
      </c>
      <c r="S184" t="str">
        <f t="shared" si="2"/>
        <v>Moderate Usage</v>
      </c>
      <c r="T184" t="s">
        <v>34</v>
      </c>
    </row>
    <row r="185" spans="1:20" x14ac:dyDescent="0.3">
      <c r="A185" t="s">
        <v>249</v>
      </c>
      <c r="B185" t="s">
        <v>40</v>
      </c>
      <c r="C185" t="s">
        <v>27</v>
      </c>
      <c r="D185" t="s">
        <v>50</v>
      </c>
      <c r="E185" t="s">
        <v>53</v>
      </c>
      <c r="F185">
        <v>7</v>
      </c>
      <c r="G185">
        <v>55.1</v>
      </c>
      <c r="H185" t="s">
        <v>43</v>
      </c>
      <c r="I185" t="s">
        <v>48</v>
      </c>
      <c r="J185" s="1">
        <v>45616</v>
      </c>
      <c r="K185" s="1">
        <f>DATE(YEAR(subscriptions[[#This Row],[signup_date]]),MONTH(subscriptions[[#This Row],[signup_date]]),1)</f>
        <v>45597</v>
      </c>
      <c r="L185" t="s">
        <v>34</v>
      </c>
      <c r="M185" s="1"/>
      <c r="N185" s="1" t="str">
        <f>IF(subscriptions[[#This Row],[churn_date]]="","",DATE(YEAR(subscriptions[[#This Row],[churn_date]]),MONTH(subscriptions[[#This Row],[churn_date]]),1))</f>
        <v/>
      </c>
      <c r="O185" t="s">
        <v>38</v>
      </c>
      <c r="P185">
        <v>8</v>
      </c>
      <c r="Q185">
        <v>2</v>
      </c>
      <c r="R185">
        <v>63</v>
      </c>
      <c r="S185" t="str">
        <f t="shared" si="2"/>
        <v>High Usage</v>
      </c>
      <c r="T185" t="s">
        <v>34</v>
      </c>
    </row>
    <row r="186" spans="1:20" x14ac:dyDescent="0.3">
      <c r="A186" t="s">
        <v>250</v>
      </c>
      <c r="B186" t="s">
        <v>26</v>
      </c>
      <c r="C186" t="s">
        <v>36</v>
      </c>
      <c r="D186" t="s">
        <v>60</v>
      </c>
      <c r="E186" t="s">
        <v>56</v>
      </c>
      <c r="F186">
        <v>96</v>
      </c>
      <c r="G186">
        <v>1024.04</v>
      </c>
      <c r="H186" t="s">
        <v>54</v>
      </c>
      <c r="I186" t="s">
        <v>31</v>
      </c>
      <c r="J186" s="1">
        <v>45978</v>
      </c>
      <c r="K186" s="1">
        <f>DATE(YEAR(subscriptions[[#This Row],[signup_date]]),MONTH(subscriptions[[#This Row],[signup_date]]),1)</f>
        <v>45962</v>
      </c>
      <c r="L186" t="s">
        <v>34</v>
      </c>
      <c r="M186" s="1"/>
      <c r="N186" s="1" t="str">
        <f>IF(subscriptions[[#This Row],[churn_date]]="","",DATE(YEAR(subscriptions[[#This Row],[churn_date]]),MONTH(subscriptions[[#This Row],[churn_date]]),1))</f>
        <v/>
      </c>
      <c r="O186" t="s">
        <v>38</v>
      </c>
      <c r="P186">
        <v>3</v>
      </c>
      <c r="Q186">
        <v>8</v>
      </c>
      <c r="R186">
        <v>48</v>
      </c>
      <c r="S186" t="str">
        <f t="shared" si="2"/>
        <v>Moderate Usage</v>
      </c>
      <c r="T186" t="s">
        <v>34</v>
      </c>
    </row>
    <row r="187" spans="1:20" x14ac:dyDescent="0.3">
      <c r="A187" t="s">
        <v>251</v>
      </c>
      <c r="B187" t="s">
        <v>45</v>
      </c>
      <c r="C187" t="s">
        <v>27</v>
      </c>
      <c r="D187" t="s">
        <v>41</v>
      </c>
      <c r="E187" t="s">
        <v>53</v>
      </c>
      <c r="F187">
        <v>6</v>
      </c>
      <c r="G187">
        <v>348.25</v>
      </c>
      <c r="H187" t="s">
        <v>43</v>
      </c>
      <c r="I187" t="s">
        <v>66</v>
      </c>
      <c r="J187" s="1">
        <v>45833</v>
      </c>
      <c r="K187" s="1">
        <f>DATE(YEAR(subscriptions[[#This Row],[signup_date]]),MONTH(subscriptions[[#This Row],[signup_date]]),1)</f>
        <v>45809</v>
      </c>
      <c r="L187" t="s">
        <v>32</v>
      </c>
      <c r="M187" s="1">
        <v>45989</v>
      </c>
      <c r="N187" s="1">
        <f>IF(subscriptions[[#This Row],[churn_date]]="","",DATE(YEAR(subscriptions[[#This Row],[churn_date]]),MONTH(subscriptions[[#This Row],[churn_date]]),1))</f>
        <v>45962</v>
      </c>
      <c r="O187" t="s">
        <v>64</v>
      </c>
      <c r="P187">
        <v>3</v>
      </c>
      <c r="Q187">
        <v>2</v>
      </c>
      <c r="R187">
        <v>17</v>
      </c>
      <c r="S187" t="str">
        <f t="shared" si="2"/>
        <v>Very Low Usage</v>
      </c>
      <c r="T187" t="s">
        <v>34</v>
      </c>
    </row>
    <row r="188" spans="1:20" x14ac:dyDescent="0.3">
      <c r="A188" t="s">
        <v>252</v>
      </c>
      <c r="B188" t="s">
        <v>26</v>
      </c>
      <c r="C188" t="s">
        <v>27</v>
      </c>
      <c r="D188" t="s">
        <v>73</v>
      </c>
      <c r="E188" t="s">
        <v>53</v>
      </c>
      <c r="F188">
        <v>4</v>
      </c>
      <c r="G188">
        <v>114.55</v>
      </c>
      <c r="H188" t="s">
        <v>71</v>
      </c>
      <c r="I188" t="s">
        <v>66</v>
      </c>
      <c r="J188" s="1">
        <v>45545</v>
      </c>
      <c r="K188" s="1">
        <f>DATE(YEAR(subscriptions[[#This Row],[signup_date]]),MONTH(subscriptions[[#This Row],[signup_date]]),1)</f>
        <v>45536</v>
      </c>
      <c r="L188" t="s">
        <v>32</v>
      </c>
      <c r="M188" s="1">
        <v>45626</v>
      </c>
      <c r="N188" s="1">
        <f>IF(subscriptions[[#This Row],[churn_date]]="","",DATE(YEAR(subscriptions[[#This Row],[churn_date]]),MONTH(subscriptions[[#This Row],[churn_date]]),1))</f>
        <v>45597</v>
      </c>
      <c r="O188" t="s">
        <v>33</v>
      </c>
      <c r="P188">
        <v>9</v>
      </c>
      <c r="Q188">
        <v>3</v>
      </c>
      <c r="R188">
        <v>24</v>
      </c>
      <c r="S188" t="str">
        <f t="shared" si="2"/>
        <v>Moderate Usage</v>
      </c>
      <c r="T188" t="s">
        <v>34</v>
      </c>
    </row>
    <row r="189" spans="1:20" x14ac:dyDescent="0.3">
      <c r="A189" t="s">
        <v>253</v>
      </c>
      <c r="B189" t="s">
        <v>45</v>
      </c>
      <c r="C189" t="s">
        <v>27</v>
      </c>
      <c r="D189" t="s">
        <v>63</v>
      </c>
      <c r="E189" t="s">
        <v>47</v>
      </c>
      <c r="F189">
        <v>28</v>
      </c>
      <c r="G189">
        <v>1004.95</v>
      </c>
      <c r="H189" t="s">
        <v>54</v>
      </c>
      <c r="I189" t="s">
        <v>66</v>
      </c>
      <c r="J189" s="1">
        <v>44784</v>
      </c>
      <c r="K189" s="1">
        <f>DATE(YEAR(subscriptions[[#This Row],[signup_date]]),MONTH(subscriptions[[#This Row],[signup_date]]),1)</f>
        <v>44774</v>
      </c>
      <c r="L189" t="s">
        <v>32</v>
      </c>
      <c r="M189" s="1">
        <v>45650</v>
      </c>
      <c r="N189" s="1">
        <f>IF(subscriptions[[#This Row],[churn_date]]="","",DATE(YEAR(subscriptions[[#This Row],[churn_date]]),MONTH(subscriptions[[#This Row],[churn_date]]),1))</f>
        <v>45627</v>
      </c>
      <c r="O189" t="s">
        <v>61</v>
      </c>
      <c r="P189">
        <v>13</v>
      </c>
      <c r="Q189">
        <v>4</v>
      </c>
      <c r="R189">
        <v>15</v>
      </c>
      <c r="S189" t="str">
        <f t="shared" si="2"/>
        <v>Very Low Usage</v>
      </c>
      <c r="T189" t="s">
        <v>34</v>
      </c>
    </row>
    <row r="190" spans="1:20" x14ac:dyDescent="0.3">
      <c r="A190" t="s">
        <v>254</v>
      </c>
      <c r="B190" t="s">
        <v>40</v>
      </c>
      <c r="C190" t="s">
        <v>27</v>
      </c>
      <c r="D190" t="s">
        <v>90</v>
      </c>
      <c r="E190" t="s">
        <v>56</v>
      </c>
      <c r="F190">
        <v>141</v>
      </c>
      <c r="G190">
        <v>638</v>
      </c>
      <c r="H190" t="s">
        <v>37</v>
      </c>
      <c r="I190" t="s">
        <v>31</v>
      </c>
      <c r="J190" s="1">
        <v>45911</v>
      </c>
      <c r="K190" s="1">
        <f>DATE(YEAR(subscriptions[[#This Row],[signup_date]]),MONTH(subscriptions[[#This Row],[signup_date]]),1)</f>
        <v>45901</v>
      </c>
      <c r="L190" t="s">
        <v>34</v>
      </c>
      <c r="M190" s="1"/>
      <c r="N190" s="1" t="str">
        <f>IF(subscriptions[[#This Row],[churn_date]]="","",DATE(YEAR(subscriptions[[#This Row],[churn_date]]),MONTH(subscriptions[[#This Row],[churn_date]]),1))</f>
        <v/>
      </c>
      <c r="O190" t="s">
        <v>38</v>
      </c>
      <c r="P190">
        <v>11</v>
      </c>
      <c r="Q190">
        <v>4</v>
      </c>
      <c r="R190">
        <v>88</v>
      </c>
      <c r="S190" t="str">
        <f t="shared" si="2"/>
        <v>Very High Usage</v>
      </c>
      <c r="T190" t="s">
        <v>34</v>
      </c>
    </row>
    <row r="191" spans="1:20" x14ac:dyDescent="0.3">
      <c r="A191" t="s">
        <v>255</v>
      </c>
      <c r="B191" t="s">
        <v>26</v>
      </c>
      <c r="C191" t="s">
        <v>27</v>
      </c>
      <c r="D191" t="s">
        <v>90</v>
      </c>
      <c r="E191" t="s">
        <v>29</v>
      </c>
      <c r="F191">
        <v>70</v>
      </c>
      <c r="G191">
        <v>896.65</v>
      </c>
      <c r="H191" t="s">
        <v>109</v>
      </c>
      <c r="I191" t="s">
        <v>31</v>
      </c>
      <c r="J191" s="1">
        <v>45117</v>
      </c>
      <c r="K191" s="1">
        <f>DATE(YEAR(subscriptions[[#This Row],[signup_date]]),MONTH(subscriptions[[#This Row],[signup_date]]),1)</f>
        <v>45108</v>
      </c>
      <c r="L191" t="s">
        <v>34</v>
      </c>
      <c r="M191" s="1"/>
      <c r="N191" s="1" t="str">
        <f>IF(subscriptions[[#This Row],[churn_date]]="","",DATE(YEAR(subscriptions[[#This Row],[churn_date]]),MONTH(subscriptions[[#This Row],[churn_date]]),1))</f>
        <v/>
      </c>
      <c r="O191" t="s">
        <v>38</v>
      </c>
      <c r="P191">
        <v>7</v>
      </c>
      <c r="Q191">
        <v>10</v>
      </c>
      <c r="R191">
        <v>63</v>
      </c>
      <c r="S191" t="str">
        <f t="shared" si="2"/>
        <v>High Usage</v>
      </c>
      <c r="T191" t="s">
        <v>34</v>
      </c>
    </row>
    <row r="192" spans="1:20" x14ac:dyDescent="0.3">
      <c r="A192" t="s">
        <v>256</v>
      </c>
      <c r="B192" t="s">
        <v>40</v>
      </c>
      <c r="C192" t="s">
        <v>27</v>
      </c>
      <c r="D192" t="s">
        <v>60</v>
      </c>
      <c r="E192" t="s">
        <v>47</v>
      </c>
      <c r="F192">
        <v>30</v>
      </c>
      <c r="G192">
        <v>155.15</v>
      </c>
      <c r="H192" t="s">
        <v>43</v>
      </c>
      <c r="I192" t="s">
        <v>31</v>
      </c>
      <c r="J192" s="1">
        <v>44916</v>
      </c>
      <c r="K192" s="1">
        <f>DATE(YEAR(subscriptions[[#This Row],[signup_date]]),MONTH(subscriptions[[#This Row],[signup_date]]),1)</f>
        <v>44896</v>
      </c>
      <c r="L192" t="s">
        <v>32</v>
      </c>
      <c r="M192" s="1">
        <v>44951</v>
      </c>
      <c r="N192" s="1">
        <f>IF(subscriptions[[#This Row],[churn_date]]="","",DATE(YEAR(subscriptions[[#This Row],[churn_date]]),MONTH(subscriptions[[#This Row],[churn_date]]),1))</f>
        <v>44927</v>
      </c>
      <c r="O192" t="s">
        <v>74</v>
      </c>
      <c r="P192">
        <v>15</v>
      </c>
      <c r="Q192">
        <v>2</v>
      </c>
      <c r="R192">
        <v>23</v>
      </c>
      <c r="S192" t="str">
        <f t="shared" si="2"/>
        <v>Moderate Usage</v>
      </c>
      <c r="T192" t="s">
        <v>34</v>
      </c>
    </row>
    <row r="193" spans="1:20" x14ac:dyDescent="0.3">
      <c r="A193" t="s">
        <v>257</v>
      </c>
      <c r="B193" t="s">
        <v>45</v>
      </c>
      <c r="C193" t="s">
        <v>27</v>
      </c>
      <c r="D193" t="s">
        <v>46</v>
      </c>
      <c r="E193" t="s">
        <v>29</v>
      </c>
      <c r="F193">
        <v>74</v>
      </c>
      <c r="G193">
        <v>2378.0500000000002</v>
      </c>
      <c r="H193" t="s">
        <v>109</v>
      </c>
      <c r="I193" t="s">
        <v>31</v>
      </c>
      <c r="J193" s="1">
        <v>44636</v>
      </c>
      <c r="K193" s="1">
        <f>DATE(YEAR(subscriptions[[#This Row],[signup_date]]),MONTH(subscriptions[[#This Row],[signup_date]]),1)</f>
        <v>44621</v>
      </c>
      <c r="L193" t="s">
        <v>34</v>
      </c>
      <c r="M193" s="1"/>
      <c r="N193" s="1" t="str">
        <f>IF(subscriptions[[#This Row],[churn_date]]="","",DATE(YEAR(subscriptions[[#This Row],[churn_date]]),MONTH(subscriptions[[#This Row],[churn_date]]),1))</f>
        <v/>
      </c>
      <c r="O193" t="s">
        <v>38</v>
      </c>
      <c r="P193">
        <v>8</v>
      </c>
      <c r="Q193">
        <v>10</v>
      </c>
      <c r="R193">
        <v>46</v>
      </c>
      <c r="S193" t="str">
        <f t="shared" si="2"/>
        <v>Moderate Usage</v>
      </c>
      <c r="T193" t="s">
        <v>32</v>
      </c>
    </row>
    <row r="194" spans="1:20" x14ac:dyDescent="0.3">
      <c r="A194" t="s">
        <v>258</v>
      </c>
      <c r="B194" t="s">
        <v>82</v>
      </c>
      <c r="C194" t="s">
        <v>27</v>
      </c>
      <c r="D194" t="s">
        <v>28</v>
      </c>
      <c r="E194" t="s">
        <v>47</v>
      </c>
      <c r="F194">
        <v>33</v>
      </c>
      <c r="G194">
        <v>2894.2</v>
      </c>
      <c r="H194" t="s">
        <v>109</v>
      </c>
      <c r="I194" t="s">
        <v>31</v>
      </c>
      <c r="J194" s="1">
        <v>45553</v>
      </c>
      <c r="K194" s="1">
        <f>DATE(YEAR(subscriptions[[#This Row],[signup_date]]),MONTH(subscriptions[[#This Row],[signup_date]]),1)</f>
        <v>45536</v>
      </c>
      <c r="L194" t="s">
        <v>34</v>
      </c>
      <c r="M194" s="1"/>
      <c r="N194" s="1" t="str">
        <f>IF(subscriptions[[#This Row],[churn_date]]="","",DATE(YEAR(subscriptions[[#This Row],[churn_date]]),MONTH(subscriptions[[#This Row],[churn_date]]),1))</f>
        <v/>
      </c>
      <c r="O194" t="s">
        <v>38</v>
      </c>
      <c r="P194">
        <v>0</v>
      </c>
      <c r="Q194">
        <v>1</v>
      </c>
      <c r="R194">
        <v>43</v>
      </c>
      <c r="S194" t="str">
        <f t="shared" ref="S194:S257" si="3">IF(R194&lt;=20,"Very Low Usage",
IF(R194&lt;=50,"Moderate Usage",
IF(R194&lt;=80,"High Usage",
"Very High Usage")))</f>
        <v>Moderate Usage</v>
      </c>
      <c r="T194" t="s">
        <v>32</v>
      </c>
    </row>
    <row r="195" spans="1:20" x14ac:dyDescent="0.3">
      <c r="A195" t="s">
        <v>259</v>
      </c>
      <c r="B195" t="s">
        <v>40</v>
      </c>
      <c r="C195" t="s">
        <v>36</v>
      </c>
      <c r="D195" t="s">
        <v>41</v>
      </c>
      <c r="E195" t="s">
        <v>42</v>
      </c>
      <c r="F195">
        <v>225</v>
      </c>
      <c r="G195">
        <v>852.89</v>
      </c>
      <c r="H195" t="s">
        <v>54</v>
      </c>
      <c r="I195" t="s">
        <v>48</v>
      </c>
      <c r="J195" s="1">
        <v>44984</v>
      </c>
      <c r="K195" s="1">
        <f>DATE(YEAR(subscriptions[[#This Row],[signup_date]]),MONTH(subscriptions[[#This Row],[signup_date]]),1)</f>
        <v>44958</v>
      </c>
      <c r="L195" t="s">
        <v>34</v>
      </c>
      <c r="M195" s="1"/>
      <c r="N195" s="1" t="str">
        <f>IF(subscriptions[[#This Row],[churn_date]]="","",DATE(YEAR(subscriptions[[#This Row],[churn_date]]),MONTH(subscriptions[[#This Row],[churn_date]]),1))</f>
        <v/>
      </c>
      <c r="O195" t="s">
        <v>38</v>
      </c>
      <c r="P195">
        <v>6</v>
      </c>
      <c r="Q195">
        <v>9</v>
      </c>
      <c r="R195">
        <v>50</v>
      </c>
      <c r="S195" t="str">
        <f t="shared" si="3"/>
        <v>Moderate Usage</v>
      </c>
      <c r="T195" t="s">
        <v>32</v>
      </c>
    </row>
    <row r="196" spans="1:20" x14ac:dyDescent="0.3">
      <c r="A196" t="s">
        <v>260</v>
      </c>
      <c r="B196" t="s">
        <v>40</v>
      </c>
      <c r="C196" t="s">
        <v>36</v>
      </c>
      <c r="D196" t="s">
        <v>73</v>
      </c>
      <c r="E196" t="s">
        <v>53</v>
      </c>
      <c r="F196">
        <v>3</v>
      </c>
      <c r="G196">
        <v>32.049999999999997</v>
      </c>
      <c r="H196" t="s">
        <v>71</v>
      </c>
      <c r="I196" t="s">
        <v>31</v>
      </c>
      <c r="J196" s="1">
        <v>45220</v>
      </c>
      <c r="K196" s="1">
        <f>DATE(YEAR(subscriptions[[#This Row],[signup_date]]),MONTH(subscriptions[[#This Row],[signup_date]]),1)</f>
        <v>45200</v>
      </c>
      <c r="L196" t="s">
        <v>32</v>
      </c>
      <c r="M196" s="1">
        <v>45492</v>
      </c>
      <c r="N196" s="1">
        <f>IF(subscriptions[[#This Row],[churn_date]]="","",DATE(YEAR(subscriptions[[#This Row],[churn_date]]),MONTH(subscriptions[[#This Row],[churn_date]]),1))</f>
        <v>45474</v>
      </c>
      <c r="O196" t="s">
        <v>64</v>
      </c>
      <c r="P196">
        <v>4</v>
      </c>
      <c r="Q196">
        <v>5</v>
      </c>
      <c r="R196">
        <v>33</v>
      </c>
      <c r="S196" t="str">
        <f t="shared" si="3"/>
        <v>Moderate Usage</v>
      </c>
      <c r="T196" t="s">
        <v>34</v>
      </c>
    </row>
    <row r="197" spans="1:20" x14ac:dyDescent="0.3">
      <c r="A197" t="s">
        <v>261</v>
      </c>
      <c r="B197" t="s">
        <v>26</v>
      </c>
      <c r="C197" t="s">
        <v>36</v>
      </c>
      <c r="D197" t="s">
        <v>60</v>
      </c>
      <c r="E197" t="s">
        <v>47</v>
      </c>
      <c r="F197">
        <v>20</v>
      </c>
      <c r="G197">
        <v>258.52999999999997</v>
      </c>
      <c r="H197" t="s">
        <v>71</v>
      </c>
      <c r="I197" t="s">
        <v>48</v>
      </c>
      <c r="J197" s="1">
        <v>45722</v>
      </c>
      <c r="K197" s="1">
        <f>DATE(YEAR(subscriptions[[#This Row],[signup_date]]),MONTH(subscriptions[[#This Row],[signup_date]]),1)</f>
        <v>45717</v>
      </c>
      <c r="L197" t="s">
        <v>34</v>
      </c>
      <c r="M197" s="1"/>
      <c r="N197" s="1" t="str">
        <f>IF(subscriptions[[#This Row],[churn_date]]="","",DATE(YEAR(subscriptions[[#This Row],[churn_date]]),MONTH(subscriptions[[#This Row],[churn_date]]),1))</f>
        <v/>
      </c>
      <c r="O197" t="s">
        <v>38</v>
      </c>
      <c r="P197">
        <v>6</v>
      </c>
      <c r="Q197">
        <v>7</v>
      </c>
      <c r="R197">
        <v>95</v>
      </c>
      <c r="S197" t="str">
        <f t="shared" si="3"/>
        <v>Very High Usage</v>
      </c>
      <c r="T197" t="s">
        <v>34</v>
      </c>
    </row>
    <row r="198" spans="1:20" x14ac:dyDescent="0.3">
      <c r="A198" t="s">
        <v>262</v>
      </c>
      <c r="B198" t="s">
        <v>82</v>
      </c>
      <c r="C198" t="s">
        <v>27</v>
      </c>
      <c r="D198" t="s">
        <v>90</v>
      </c>
      <c r="E198" t="s">
        <v>53</v>
      </c>
      <c r="F198">
        <v>1</v>
      </c>
      <c r="G198">
        <v>499</v>
      </c>
      <c r="H198" t="s">
        <v>30</v>
      </c>
      <c r="I198" t="s">
        <v>66</v>
      </c>
      <c r="J198" s="1">
        <v>44645</v>
      </c>
      <c r="K198" s="1">
        <f>DATE(YEAR(subscriptions[[#This Row],[signup_date]]),MONTH(subscriptions[[#This Row],[signup_date]]),1)</f>
        <v>44621</v>
      </c>
      <c r="L198" t="s">
        <v>34</v>
      </c>
      <c r="M198" s="1"/>
      <c r="N198" s="1" t="str">
        <f>IF(subscriptions[[#This Row],[churn_date]]="","",DATE(YEAR(subscriptions[[#This Row],[churn_date]]),MONTH(subscriptions[[#This Row],[churn_date]]),1))</f>
        <v/>
      </c>
      <c r="O198" t="s">
        <v>38</v>
      </c>
      <c r="P198">
        <v>8</v>
      </c>
      <c r="Q198">
        <v>7</v>
      </c>
      <c r="R198">
        <v>32</v>
      </c>
      <c r="S198" t="str">
        <f t="shared" si="3"/>
        <v>Moderate Usage</v>
      </c>
      <c r="T198" t="s">
        <v>34</v>
      </c>
    </row>
    <row r="199" spans="1:20" x14ac:dyDescent="0.3">
      <c r="A199" t="s">
        <v>263</v>
      </c>
      <c r="B199" t="s">
        <v>40</v>
      </c>
      <c r="C199" t="s">
        <v>27</v>
      </c>
      <c r="D199" t="s">
        <v>63</v>
      </c>
      <c r="E199" t="s">
        <v>29</v>
      </c>
      <c r="F199">
        <v>21</v>
      </c>
      <c r="G199">
        <v>116</v>
      </c>
      <c r="H199" t="s">
        <v>54</v>
      </c>
      <c r="I199" t="s">
        <v>48</v>
      </c>
      <c r="J199" s="1">
        <v>45035</v>
      </c>
      <c r="K199" s="1">
        <f>DATE(YEAR(subscriptions[[#This Row],[signup_date]]),MONTH(subscriptions[[#This Row],[signup_date]]),1)</f>
        <v>45017</v>
      </c>
      <c r="L199" t="s">
        <v>32</v>
      </c>
      <c r="M199" s="1">
        <v>45672</v>
      </c>
      <c r="N199" s="1">
        <f>IF(subscriptions[[#This Row],[churn_date]]="","",DATE(YEAR(subscriptions[[#This Row],[churn_date]]),MONTH(subscriptions[[#This Row],[churn_date]]),1))</f>
        <v>45658</v>
      </c>
      <c r="O199" t="s">
        <v>93</v>
      </c>
      <c r="P199">
        <v>0</v>
      </c>
      <c r="Q199">
        <v>1</v>
      </c>
      <c r="R199">
        <v>15</v>
      </c>
      <c r="S199" t="str">
        <f t="shared" si="3"/>
        <v>Very Low Usage</v>
      </c>
      <c r="T199" t="s">
        <v>34</v>
      </c>
    </row>
    <row r="200" spans="1:20" x14ac:dyDescent="0.3">
      <c r="A200" t="s">
        <v>264</v>
      </c>
      <c r="B200" t="s">
        <v>26</v>
      </c>
      <c r="C200" t="s">
        <v>36</v>
      </c>
      <c r="D200" t="s">
        <v>79</v>
      </c>
      <c r="E200" t="s">
        <v>53</v>
      </c>
      <c r="F200">
        <v>4</v>
      </c>
      <c r="G200">
        <v>97.37</v>
      </c>
      <c r="H200" t="s">
        <v>71</v>
      </c>
      <c r="I200" t="s">
        <v>31</v>
      </c>
      <c r="J200" s="1">
        <v>45719</v>
      </c>
      <c r="K200" s="1">
        <f>DATE(YEAR(subscriptions[[#This Row],[signup_date]]),MONTH(subscriptions[[#This Row],[signup_date]]),1)</f>
        <v>45717</v>
      </c>
      <c r="L200" t="s">
        <v>34</v>
      </c>
      <c r="M200" s="1"/>
      <c r="N200" s="1" t="str">
        <f>IF(subscriptions[[#This Row],[churn_date]]="","",DATE(YEAR(subscriptions[[#This Row],[churn_date]]),MONTH(subscriptions[[#This Row],[churn_date]]),1))</f>
        <v/>
      </c>
      <c r="O200" t="s">
        <v>38</v>
      </c>
      <c r="P200">
        <v>2</v>
      </c>
      <c r="Q200">
        <v>4</v>
      </c>
      <c r="R200">
        <v>36</v>
      </c>
      <c r="S200" t="str">
        <f t="shared" si="3"/>
        <v>Moderate Usage</v>
      </c>
      <c r="T200" t="s">
        <v>34</v>
      </c>
    </row>
    <row r="201" spans="1:20" x14ac:dyDescent="0.3">
      <c r="A201" t="s">
        <v>265</v>
      </c>
      <c r="B201" t="s">
        <v>26</v>
      </c>
      <c r="C201" t="s">
        <v>36</v>
      </c>
      <c r="D201" t="s">
        <v>73</v>
      </c>
      <c r="E201" t="s">
        <v>56</v>
      </c>
      <c r="F201">
        <v>35</v>
      </c>
      <c r="G201">
        <v>409.62</v>
      </c>
      <c r="H201" t="s">
        <v>30</v>
      </c>
      <c r="I201" t="s">
        <v>31</v>
      </c>
      <c r="J201" s="1">
        <v>44858</v>
      </c>
      <c r="K201" s="1">
        <f>DATE(YEAR(subscriptions[[#This Row],[signup_date]]),MONTH(subscriptions[[#This Row],[signup_date]]),1)</f>
        <v>44835</v>
      </c>
      <c r="L201" t="s">
        <v>32</v>
      </c>
      <c r="M201" s="1">
        <v>45598</v>
      </c>
      <c r="N201" s="1">
        <f>IF(subscriptions[[#This Row],[churn_date]]="","",DATE(YEAR(subscriptions[[#This Row],[churn_date]]),MONTH(subscriptions[[#This Row],[churn_date]]),1))</f>
        <v>45597</v>
      </c>
      <c r="O201" t="s">
        <v>93</v>
      </c>
      <c r="P201">
        <v>15</v>
      </c>
      <c r="Q201">
        <v>1</v>
      </c>
      <c r="R201">
        <v>21</v>
      </c>
      <c r="S201" t="str">
        <f t="shared" si="3"/>
        <v>Moderate Usage</v>
      </c>
      <c r="T201" t="s">
        <v>34</v>
      </c>
    </row>
    <row r="202" spans="1:20" x14ac:dyDescent="0.3">
      <c r="A202" t="s">
        <v>266</v>
      </c>
      <c r="B202" t="s">
        <v>40</v>
      </c>
      <c r="C202" t="s">
        <v>27</v>
      </c>
      <c r="D202" t="s">
        <v>60</v>
      </c>
      <c r="E202" t="s">
        <v>47</v>
      </c>
      <c r="F202">
        <v>13</v>
      </c>
      <c r="G202">
        <v>81.2</v>
      </c>
      <c r="H202" t="s">
        <v>43</v>
      </c>
      <c r="I202" t="s">
        <v>48</v>
      </c>
      <c r="J202" s="1">
        <v>45105</v>
      </c>
      <c r="K202" s="1">
        <f>DATE(YEAR(subscriptions[[#This Row],[signup_date]]),MONTH(subscriptions[[#This Row],[signup_date]]),1)</f>
        <v>45078</v>
      </c>
      <c r="L202" t="s">
        <v>32</v>
      </c>
      <c r="M202" s="1">
        <v>45578</v>
      </c>
      <c r="N202" s="1">
        <f>IF(subscriptions[[#This Row],[churn_date]]="","",DATE(YEAR(subscriptions[[#This Row],[churn_date]]),MONTH(subscriptions[[#This Row],[churn_date]]),1))</f>
        <v>45566</v>
      </c>
      <c r="O202" t="s">
        <v>64</v>
      </c>
      <c r="P202">
        <v>15</v>
      </c>
      <c r="Q202">
        <v>1</v>
      </c>
      <c r="R202">
        <v>44</v>
      </c>
      <c r="S202" t="str">
        <f t="shared" si="3"/>
        <v>Moderate Usage</v>
      </c>
      <c r="T202" t="s">
        <v>34</v>
      </c>
    </row>
    <row r="203" spans="1:20" x14ac:dyDescent="0.3">
      <c r="A203" t="s">
        <v>267</v>
      </c>
      <c r="B203" t="s">
        <v>40</v>
      </c>
      <c r="C203" t="s">
        <v>27</v>
      </c>
      <c r="D203" t="s">
        <v>79</v>
      </c>
      <c r="E203" t="s">
        <v>47</v>
      </c>
      <c r="F203">
        <v>30</v>
      </c>
      <c r="G203">
        <v>155.15</v>
      </c>
      <c r="H203" t="s">
        <v>43</v>
      </c>
      <c r="I203" t="s">
        <v>80</v>
      </c>
      <c r="J203" s="1">
        <v>45205</v>
      </c>
      <c r="K203" s="1">
        <f>DATE(YEAR(subscriptions[[#This Row],[signup_date]]),MONTH(subscriptions[[#This Row],[signup_date]]),1)</f>
        <v>45200</v>
      </c>
      <c r="L203" t="s">
        <v>32</v>
      </c>
      <c r="M203" s="1">
        <v>45234</v>
      </c>
      <c r="N203" s="1">
        <f>IF(subscriptions[[#This Row],[churn_date]]="","",DATE(YEAR(subscriptions[[#This Row],[churn_date]]),MONTH(subscriptions[[#This Row],[churn_date]]),1))</f>
        <v>45231</v>
      </c>
      <c r="O203" t="s">
        <v>33</v>
      </c>
      <c r="P203">
        <v>3</v>
      </c>
      <c r="Q203">
        <v>1</v>
      </c>
      <c r="R203">
        <v>25</v>
      </c>
      <c r="S203" t="str">
        <f t="shared" si="3"/>
        <v>Moderate Usage</v>
      </c>
      <c r="T203" t="s">
        <v>34</v>
      </c>
    </row>
    <row r="204" spans="1:20" x14ac:dyDescent="0.3">
      <c r="A204" t="s">
        <v>268</v>
      </c>
      <c r="B204" t="s">
        <v>45</v>
      </c>
      <c r="C204" t="s">
        <v>27</v>
      </c>
      <c r="D204" t="s">
        <v>90</v>
      </c>
      <c r="E204" t="s">
        <v>53</v>
      </c>
      <c r="F204">
        <v>8</v>
      </c>
      <c r="G204">
        <v>407.95</v>
      </c>
      <c r="H204" t="s">
        <v>37</v>
      </c>
      <c r="I204" t="s">
        <v>80</v>
      </c>
      <c r="J204" s="1">
        <v>45137</v>
      </c>
      <c r="K204" s="1">
        <f>DATE(YEAR(subscriptions[[#This Row],[signup_date]]),MONTH(subscriptions[[#This Row],[signup_date]]),1)</f>
        <v>45108</v>
      </c>
      <c r="L204" t="s">
        <v>32</v>
      </c>
      <c r="M204" s="1">
        <v>45753</v>
      </c>
      <c r="N204" s="1">
        <f>IF(subscriptions[[#This Row],[churn_date]]="","",DATE(YEAR(subscriptions[[#This Row],[churn_date]]),MONTH(subscriptions[[#This Row],[churn_date]]),1))</f>
        <v>45748</v>
      </c>
      <c r="O204" t="s">
        <v>64</v>
      </c>
      <c r="P204">
        <v>1</v>
      </c>
      <c r="Q204">
        <v>5</v>
      </c>
      <c r="R204">
        <v>12</v>
      </c>
      <c r="S204" t="str">
        <f t="shared" si="3"/>
        <v>Very Low Usage</v>
      </c>
      <c r="T204" t="s">
        <v>34</v>
      </c>
    </row>
    <row r="205" spans="1:20" x14ac:dyDescent="0.3">
      <c r="A205" t="s">
        <v>269</v>
      </c>
      <c r="B205" t="s">
        <v>40</v>
      </c>
      <c r="C205" t="s">
        <v>27</v>
      </c>
      <c r="D205" t="s">
        <v>73</v>
      </c>
      <c r="E205" t="s">
        <v>29</v>
      </c>
      <c r="F205">
        <v>64</v>
      </c>
      <c r="G205">
        <v>303.05</v>
      </c>
      <c r="H205" t="s">
        <v>43</v>
      </c>
      <c r="I205" t="s">
        <v>31</v>
      </c>
      <c r="J205" s="1">
        <v>45431</v>
      </c>
      <c r="K205" s="1">
        <f>DATE(YEAR(subscriptions[[#This Row],[signup_date]]),MONTH(subscriptions[[#This Row],[signup_date]]),1)</f>
        <v>45413</v>
      </c>
      <c r="L205" t="s">
        <v>32</v>
      </c>
      <c r="M205" s="1">
        <v>45493</v>
      </c>
      <c r="N205" s="1">
        <f>IF(subscriptions[[#This Row],[churn_date]]="","",DATE(YEAR(subscriptions[[#This Row],[churn_date]]),MONTH(subscriptions[[#This Row],[churn_date]]),1))</f>
        <v>45474</v>
      </c>
      <c r="O205" t="s">
        <v>57</v>
      </c>
      <c r="P205">
        <v>11</v>
      </c>
      <c r="Q205">
        <v>1</v>
      </c>
      <c r="R205">
        <v>49</v>
      </c>
      <c r="S205" t="str">
        <f t="shared" si="3"/>
        <v>Moderate Usage</v>
      </c>
      <c r="T205" t="s">
        <v>34</v>
      </c>
    </row>
    <row r="206" spans="1:20" x14ac:dyDescent="0.3">
      <c r="A206" t="s">
        <v>270</v>
      </c>
      <c r="B206" t="s">
        <v>45</v>
      </c>
      <c r="C206" t="s">
        <v>36</v>
      </c>
      <c r="D206" t="s">
        <v>63</v>
      </c>
      <c r="E206" t="s">
        <v>29</v>
      </c>
      <c r="F206">
        <v>67</v>
      </c>
      <c r="G206">
        <v>1843.73</v>
      </c>
      <c r="H206" t="s">
        <v>30</v>
      </c>
      <c r="I206" t="s">
        <v>48</v>
      </c>
      <c r="J206" s="1">
        <v>45277</v>
      </c>
      <c r="K206" s="1">
        <f>DATE(YEAR(subscriptions[[#This Row],[signup_date]]),MONTH(subscriptions[[#This Row],[signup_date]]),1)</f>
        <v>45261</v>
      </c>
      <c r="L206" t="s">
        <v>34</v>
      </c>
      <c r="M206" s="1"/>
      <c r="N206" s="1" t="str">
        <f>IF(subscriptions[[#This Row],[churn_date]]="","",DATE(YEAR(subscriptions[[#This Row],[churn_date]]),MONTH(subscriptions[[#This Row],[churn_date]]),1))</f>
        <v/>
      </c>
      <c r="O206" t="s">
        <v>38</v>
      </c>
      <c r="P206">
        <v>12</v>
      </c>
      <c r="Q206">
        <v>1</v>
      </c>
      <c r="R206">
        <v>85</v>
      </c>
      <c r="S206" t="str">
        <f t="shared" si="3"/>
        <v>Very High Usage</v>
      </c>
      <c r="T206" t="s">
        <v>32</v>
      </c>
    </row>
    <row r="207" spans="1:20" x14ac:dyDescent="0.3">
      <c r="A207" t="s">
        <v>271</v>
      </c>
      <c r="B207" t="s">
        <v>40</v>
      </c>
      <c r="C207" t="s">
        <v>27</v>
      </c>
      <c r="D207" t="s">
        <v>63</v>
      </c>
      <c r="E207" t="s">
        <v>56</v>
      </c>
      <c r="F207">
        <v>72</v>
      </c>
      <c r="G207">
        <v>337.85</v>
      </c>
      <c r="H207" t="s">
        <v>30</v>
      </c>
      <c r="I207" t="s">
        <v>48</v>
      </c>
      <c r="J207" s="1">
        <v>45374</v>
      </c>
      <c r="K207" s="1">
        <f>DATE(YEAR(subscriptions[[#This Row],[signup_date]]),MONTH(subscriptions[[#This Row],[signup_date]]),1)</f>
        <v>45352</v>
      </c>
      <c r="L207" t="s">
        <v>32</v>
      </c>
      <c r="M207" s="1">
        <v>45475</v>
      </c>
      <c r="N207" s="1">
        <f>IF(subscriptions[[#This Row],[churn_date]]="","",DATE(YEAR(subscriptions[[#This Row],[churn_date]]),MONTH(subscriptions[[#This Row],[churn_date]]),1))</f>
        <v>45474</v>
      </c>
      <c r="O207" t="s">
        <v>61</v>
      </c>
      <c r="P207">
        <v>5</v>
      </c>
      <c r="Q207">
        <v>6</v>
      </c>
      <c r="R207">
        <v>33</v>
      </c>
      <c r="S207" t="str">
        <f t="shared" si="3"/>
        <v>Moderate Usage</v>
      </c>
      <c r="T207" t="s">
        <v>34</v>
      </c>
    </row>
    <row r="208" spans="1:20" x14ac:dyDescent="0.3">
      <c r="A208" t="s">
        <v>272</v>
      </c>
      <c r="B208" t="s">
        <v>45</v>
      </c>
      <c r="C208" t="s">
        <v>27</v>
      </c>
      <c r="D208" t="s">
        <v>46</v>
      </c>
      <c r="E208" t="s">
        <v>53</v>
      </c>
      <c r="F208">
        <v>1</v>
      </c>
      <c r="G208">
        <v>199</v>
      </c>
      <c r="H208" t="s">
        <v>43</v>
      </c>
      <c r="I208" t="s">
        <v>31</v>
      </c>
      <c r="J208" s="1">
        <v>45018</v>
      </c>
      <c r="K208" s="1">
        <f>DATE(YEAR(subscriptions[[#This Row],[signup_date]]),MONTH(subscriptions[[#This Row],[signup_date]]),1)</f>
        <v>45017</v>
      </c>
      <c r="L208" t="s">
        <v>32</v>
      </c>
      <c r="M208" s="1">
        <v>45275</v>
      </c>
      <c r="N208" s="1">
        <f>IF(subscriptions[[#This Row],[churn_date]]="","",DATE(YEAR(subscriptions[[#This Row],[churn_date]]),MONTH(subscriptions[[#This Row],[churn_date]]),1))</f>
        <v>45261</v>
      </c>
      <c r="O208" t="s">
        <v>74</v>
      </c>
      <c r="P208">
        <v>12</v>
      </c>
      <c r="Q208">
        <v>2</v>
      </c>
      <c r="R208">
        <v>16</v>
      </c>
      <c r="S208" t="str">
        <f t="shared" si="3"/>
        <v>Very Low Usage</v>
      </c>
      <c r="T208" t="s">
        <v>34</v>
      </c>
    </row>
    <row r="209" spans="1:20" x14ac:dyDescent="0.3">
      <c r="A209" t="s">
        <v>273</v>
      </c>
      <c r="B209" t="s">
        <v>40</v>
      </c>
      <c r="C209" t="s">
        <v>27</v>
      </c>
      <c r="D209" t="s">
        <v>90</v>
      </c>
      <c r="E209" t="s">
        <v>47</v>
      </c>
      <c r="F209">
        <v>5</v>
      </c>
      <c r="G209">
        <v>46.4</v>
      </c>
      <c r="H209" t="s">
        <v>54</v>
      </c>
      <c r="I209" t="s">
        <v>31</v>
      </c>
      <c r="J209" s="1">
        <v>45676</v>
      </c>
      <c r="K209" s="1">
        <f>DATE(YEAR(subscriptions[[#This Row],[signup_date]]),MONTH(subscriptions[[#This Row],[signup_date]]),1)</f>
        <v>45658</v>
      </c>
      <c r="L209" t="s">
        <v>32</v>
      </c>
      <c r="M209" s="1">
        <v>45841</v>
      </c>
      <c r="N209" s="1">
        <f>IF(subscriptions[[#This Row],[churn_date]]="","",DATE(YEAR(subscriptions[[#This Row],[churn_date]]),MONTH(subscriptions[[#This Row],[churn_date]]),1))</f>
        <v>45839</v>
      </c>
      <c r="O209" t="s">
        <v>93</v>
      </c>
      <c r="P209">
        <v>8</v>
      </c>
      <c r="Q209">
        <v>4</v>
      </c>
      <c r="R209">
        <v>21</v>
      </c>
      <c r="S209" t="str">
        <f t="shared" si="3"/>
        <v>Moderate Usage</v>
      </c>
      <c r="T209" t="s">
        <v>34</v>
      </c>
    </row>
    <row r="210" spans="1:20" x14ac:dyDescent="0.3">
      <c r="A210" t="s">
        <v>274</v>
      </c>
      <c r="B210" t="s">
        <v>40</v>
      </c>
      <c r="C210" t="s">
        <v>36</v>
      </c>
      <c r="D210" t="s">
        <v>63</v>
      </c>
      <c r="E210" t="s">
        <v>29</v>
      </c>
      <c r="F210">
        <v>46</v>
      </c>
      <c r="G210">
        <v>191.04</v>
      </c>
      <c r="H210" t="s">
        <v>109</v>
      </c>
      <c r="I210" t="s">
        <v>48</v>
      </c>
      <c r="J210" s="1">
        <v>44686</v>
      </c>
      <c r="K210" s="1">
        <f>DATE(YEAR(subscriptions[[#This Row],[signup_date]]),MONTH(subscriptions[[#This Row],[signup_date]]),1)</f>
        <v>44682</v>
      </c>
      <c r="L210" t="s">
        <v>32</v>
      </c>
      <c r="M210" s="1">
        <v>44772</v>
      </c>
      <c r="N210" s="1">
        <f>IF(subscriptions[[#This Row],[churn_date]]="","",DATE(YEAR(subscriptions[[#This Row],[churn_date]]),MONTH(subscriptions[[#This Row],[churn_date]]),1))</f>
        <v>44743</v>
      </c>
      <c r="O210" t="s">
        <v>67</v>
      </c>
      <c r="P210">
        <v>2</v>
      </c>
      <c r="Q210">
        <v>1</v>
      </c>
      <c r="R210">
        <v>13</v>
      </c>
      <c r="S210" t="str">
        <f t="shared" si="3"/>
        <v>Very Low Usage</v>
      </c>
      <c r="T210" t="s">
        <v>34</v>
      </c>
    </row>
    <row r="211" spans="1:20" x14ac:dyDescent="0.3">
      <c r="A211" t="s">
        <v>275</v>
      </c>
      <c r="B211" t="s">
        <v>82</v>
      </c>
      <c r="C211" t="s">
        <v>27</v>
      </c>
      <c r="D211" t="s">
        <v>63</v>
      </c>
      <c r="E211" t="s">
        <v>29</v>
      </c>
      <c r="F211">
        <v>72</v>
      </c>
      <c r="G211">
        <v>5813.35</v>
      </c>
      <c r="H211" t="s">
        <v>109</v>
      </c>
      <c r="I211" t="s">
        <v>31</v>
      </c>
      <c r="J211" s="1">
        <v>44826</v>
      </c>
      <c r="K211" s="1">
        <f>DATE(YEAR(subscriptions[[#This Row],[signup_date]]),MONTH(subscriptions[[#This Row],[signup_date]]),1)</f>
        <v>44805</v>
      </c>
      <c r="L211" t="s">
        <v>32</v>
      </c>
      <c r="M211" s="1">
        <v>45803</v>
      </c>
      <c r="N211" s="1">
        <f>IF(subscriptions[[#This Row],[churn_date]]="","",DATE(YEAR(subscriptions[[#This Row],[churn_date]]),MONTH(subscriptions[[#This Row],[churn_date]]),1))</f>
        <v>45778</v>
      </c>
      <c r="O211" t="s">
        <v>33</v>
      </c>
      <c r="P211">
        <v>13</v>
      </c>
      <c r="Q211">
        <v>1</v>
      </c>
      <c r="R211">
        <v>17</v>
      </c>
      <c r="S211" t="str">
        <f t="shared" si="3"/>
        <v>Very Low Usage</v>
      </c>
      <c r="T211" t="s">
        <v>34</v>
      </c>
    </row>
    <row r="212" spans="1:20" x14ac:dyDescent="0.3">
      <c r="A212" t="s">
        <v>276</v>
      </c>
      <c r="B212" t="s">
        <v>82</v>
      </c>
      <c r="C212" t="s">
        <v>36</v>
      </c>
      <c r="D212" t="s">
        <v>73</v>
      </c>
      <c r="E212" t="s">
        <v>56</v>
      </c>
      <c r="F212">
        <v>48</v>
      </c>
      <c r="G212">
        <v>3414.41</v>
      </c>
      <c r="H212" t="s">
        <v>71</v>
      </c>
      <c r="I212" t="s">
        <v>31</v>
      </c>
      <c r="J212" s="1">
        <v>45838</v>
      </c>
      <c r="K212" s="1">
        <f>DATE(YEAR(subscriptions[[#This Row],[signup_date]]),MONTH(subscriptions[[#This Row],[signup_date]]),1)</f>
        <v>45809</v>
      </c>
      <c r="L212" t="s">
        <v>34</v>
      </c>
      <c r="M212" s="1"/>
      <c r="N212" s="1" t="str">
        <f>IF(subscriptions[[#This Row],[churn_date]]="","",DATE(YEAR(subscriptions[[#This Row],[churn_date]]),MONTH(subscriptions[[#This Row],[churn_date]]),1))</f>
        <v/>
      </c>
      <c r="O212" t="s">
        <v>38</v>
      </c>
      <c r="P212">
        <v>12</v>
      </c>
      <c r="Q212">
        <v>2</v>
      </c>
      <c r="R212">
        <v>23</v>
      </c>
      <c r="S212" t="str">
        <f t="shared" si="3"/>
        <v>Moderate Usage</v>
      </c>
      <c r="T212" t="s">
        <v>34</v>
      </c>
    </row>
    <row r="213" spans="1:20" x14ac:dyDescent="0.3">
      <c r="A213" t="s">
        <v>277</v>
      </c>
      <c r="B213" t="s">
        <v>45</v>
      </c>
      <c r="C213" t="s">
        <v>36</v>
      </c>
      <c r="D213" t="s">
        <v>28</v>
      </c>
      <c r="E213" t="s">
        <v>53</v>
      </c>
      <c r="F213">
        <v>1</v>
      </c>
      <c r="G213">
        <v>169.15</v>
      </c>
      <c r="H213" t="s">
        <v>43</v>
      </c>
      <c r="I213" t="s">
        <v>31</v>
      </c>
      <c r="J213" s="1">
        <v>45299</v>
      </c>
      <c r="K213" s="1">
        <f>DATE(YEAR(subscriptions[[#This Row],[signup_date]]),MONTH(subscriptions[[#This Row],[signup_date]]),1)</f>
        <v>45292</v>
      </c>
      <c r="L213" t="s">
        <v>34</v>
      </c>
      <c r="M213" s="1"/>
      <c r="N213" s="1" t="str">
        <f>IF(subscriptions[[#This Row],[churn_date]]="","",DATE(YEAR(subscriptions[[#This Row],[churn_date]]),MONTH(subscriptions[[#This Row],[churn_date]]),1))</f>
        <v/>
      </c>
      <c r="O213" t="s">
        <v>38</v>
      </c>
      <c r="P213">
        <v>1</v>
      </c>
      <c r="Q213">
        <v>6</v>
      </c>
      <c r="R213">
        <v>60</v>
      </c>
      <c r="S213" t="str">
        <f t="shared" si="3"/>
        <v>High Usage</v>
      </c>
      <c r="T213" t="s">
        <v>34</v>
      </c>
    </row>
    <row r="214" spans="1:20" x14ac:dyDescent="0.3">
      <c r="A214" t="s">
        <v>278</v>
      </c>
      <c r="B214" t="s">
        <v>45</v>
      </c>
      <c r="C214" t="s">
        <v>36</v>
      </c>
      <c r="D214" t="s">
        <v>50</v>
      </c>
      <c r="E214" t="s">
        <v>42</v>
      </c>
      <c r="F214">
        <v>209</v>
      </c>
      <c r="G214">
        <v>5446.63</v>
      </c>
      <c r="H214" t="s">
        <v>43</v>
      </c>
      <c r="I214" t="s">
        <v>31</v>
      </c>
      <c r="J214" s="1">
        <v>45066</v>
      </c>
      <c r="K214" s="1">
        <f>DATE(YEAR(subscriptions[[#This Row],[signup_date]]),MONTH(subscriptions[[#This Row],[signup_date]]),1)</f>
        <v>45047</v>
      </c>
      <c r="L214" t="s">
        <v>34</v>
      </c>
      <c r="M214" s="1"/>
      <c r="N214" s="1" t="str">
        <f>IF(subscriptions[[#This Row],[churn_date]]="","",DATE(YEAR(subscriptions[[#This Row],[churn_date]]),MONTH(subscriptions[[#This Row],[churn_date]]),1))</f>
        <v/>
      </c>
      <c r="O214" t="s">
        <v>38</v>
      </c>
      <c r="P214">
        <v>4</v>
      </c>
      <c r="Q214">
        <v>2</v>
      </c>
      <c r="R214">
        <v>31</v>
      </c>
      <c r="S214" t="str">
        <f t="shared" si="3"/>
        <v>Moderate Usage</v>
      </c>
      <c r="T214" t="s">
        <v>34</v>
      </c>
    </row>
    <row r="215" spans="1:20" x14ac:dyDescent="0.3">
      <c r="A215" t="s">
        <v>279</v>
      </c>
      <c r="B215" t="s">
        <v>40</v>
      </c>
      <c r="C215" t="s">
        <v>27</v>
      </c>
      <c r="D215" t="s">
        <v>79</v>
      </c>
      <c r="E215" t="s">
        <v>47</v>
      </c>
      <c r="F215">
        <v>17</v>
      </c>
      <c r="G215">
        <v>98.6</v>
      </c>
      <c r="H215" t="s">
        <v>54</v>
      </c>
      <c r="I215" t="s">
        <v>31</v>
      </c>
      <c r="J215" s="1">
        <v>45558</v>
      </c>
      <c r="K215" s="1">
        <f>DATE(YEAR(subscriptions[[#This Row],[signup_date]]),MONTH(subscriptions[[#This Row],[signup_date]]),1)</f>
        <v>45536</v>
      </c>
      <c r="L215" t="s">
        <v>32</v>
      </c>
      <c r="M215" s="1">
        <v>45880</v>
      </c>
      <c r="N215" s="1">
        <f>IF(subscriptions[[#This Row],[churn_date]]="","",DATE(YEAR(subscriptions[[#This Row],[churn_date]]),MONTH(subscriptions[[#This Row],[churn_date]]),1))</f>
        <v>45870</v>
      </c>
      <c r="O215" t="s">
        <v>74</v>
      </c>
      <c r="P215">
        <v>4</v>
      </c>
      <c r="Q215">
        <v>4</v>
      </c>
      <c r="R215">
        <v>10</v>
      </c>
      <c r="S215" t="str">
        <f t="shared" si="3"/>
        <v>Very Low Usage</v>
      </c>
      <c r="T215" t="s">
        <v>34</v>
      </c>
    </row>
    <row r="216" spans="1:20" x14ac:dyDescent="0.3">
      <c r="A216" t="s">
        <v>280</v>
      </c>
      <c r="B216" t="s">
        <v>40</v>
      </c>
      <c r="C216" t="s">
        <v>27</v>
      </c>
      <c r="D216" t="s">
        <v>90</v>
      </c>
      <c r="E216" t="s">
        <v>47</v>
      </c>
      <c r="F216">
        <v>21</v>
      </c>
      <c r="G216">
        <v>116</v>
      </c>
      <c r="H216" t="s">
        <v>37</v>
      </c>
      <c r="I216" t="s">
        <v>66</v>
      </c>
      <c r="J216" s="1">
        <v>45666</v>
      </c>
      <c r="K216" s="1">
        <f>DATE(YEAR(subscriptions[[#This Row],[signup_date]]),MONTH(subscriptions[[#This Row],[signup_date]]),1)</f>
        <v>45658</v>
      </c>
      <c r="L216" t="s">
        <v>32</v>
      </c>
      <c r="M216" s="1">
        <v>45837</v>
      </c>
      <c r="N216" s="1">
        <f>IF(subscriptions[[#This Row],[churn_date]]="","",DATE(YEAR(subscriptions[[#This Row],[churn_date]]),MONTH(subscriptions[[#This Row],[churn_date]]),1))</f>
        <v>45809</v>
      </c>
      <c r="O216" t="s">
        <v>61</v>
      </c>
      <c r="P216">
        <v>15</v>
      </c>
      <c r="Q216">
        <v>5</v>
      </c>
      <c r="R216">
        <v>27</v>
      </c>
      <c r="S216" t="str">
        <f t="shared" si="3"/>
        <v>Moderate Usage</v>
      </c>
      <c r="T216" t="s">
        <v>34</v>
      </c>
    </row>
    <row r="217" spans="1:20" x14ac:dyDescent="0.3">
      <c r="A217" t="s">
        <v>281</v>
      </c>
      <c r="B217" t="s">
        <v>40</v>
      </c>
      <c r="C217" t="s">
        <v>27</v>
      </c>
      <c r="D217" t="s">
        <v>41</v>
      </c>
      <c r="E217" t="s">
        <v>47</v>
      </c>
      <c r="F217">
        <v>15</v>
      </c>
      <c r="G217">
        <v>89.9</v>
      </c>
      <c r="H217" t="s">
        <v>30</v>
      </c>
      <c r="I217" t="s">
        <v>31</v>
      </c>
      <c r="J217" s="1">
        <v>45493</v>
      </c>
      <c r="K217" s="1">
        <f>DATE(YEAR(subscriptions[[#This Row],[signup_date]]),MONTH(subscriptions[[#This Row],[signup_date]]),1)</f>
        <v>45474</v>
      </c>
      <c r="L217" t="s">
        <v>32</v>
      </c>
      <c r="M217" s="1">
        <v>45551</v>
      </c>
      <c r="N217" s="1">
        <f>IF(subscriptions[[#This Row],[churn_date]]="","",DATE(YEAR(subscriptions[[#This Row],[churn_date]]),MONTH(subscriptions[[#This Row],[churn_date]]),1))</f>
        <v>45536</v>
      </c>
      <c r="O217" t="s">
        <v>57</v>
      </c>
      <c r="P217">
        <v>11</v>
      </c>
      <c r="Q217">
        <v>4</v>
      </c>
      <c r="R217">
        <v>20</v>
      </c>
      <c r="S217" t="str">
        <f t="shared" si="3"/>
        <v>Very Low Usage</v>
      </c>
      <c r="T217" t="s">
        <v>34</v>
      </c>
    </row>
    <row r="218" spans="1:20" x14ac:dyDescent="0.3">
      <c r="A218" t="s">
        <v>282</v>
      </c>
      <c r="B218" t="s">
        <v>26</v>
      </c>
      <c r="C218" t="s">
        <v>27</v>
      </c>
      <c r="D218" t="s">
        <v>63</v>
      </c>
      <c r="E218" t="s">
        <v>29</v>
      </c>
      <c r="F218">
        <v>46</v>
      </c>
      <c r="G218">
        <v>612.25</v>
      </c>
      <c r="H218" t="s">
        <v>43</v>
      </c>
      <c r="I218" t="s">
        <v>31</v>
      </c>
      <c r="J218" s="1">
        <v>45387</v>
      </c>
      <c r="K218" s="1">
        <f>DATE(YEAR(subscriptions[[#This Row],[signup_date]]),MONTH(subscriptions[[#This Row],[signup_date]]),1)</f>
        <v>45383</v>
      </c>
      <c r="L218" t="s">
        <v>34</v>
      </c>
      <c r="M218" s="1"/>
      <c r="N218" s="1" t="str">
        <f>IF(subscriptions[[#This Row],[churn_date]]="","",DATE(YEAR(subscriptions[[#This Row],[churn_date]]),MONTH(subscriptions[[#This Row],[churn_date]]),1))</f>
        <v/>
      </c>
      <c r="O218" t="s">
        <v>38</v>
      </c>
      <c r="P218">
        <v>3</v>
      </c>
      <c r="Q218">
        <v>7</v>
      </c>
      <c r="R218">
        <v>39</v>
      </c>
      <c r="S218" t="str">
        <f t="shared" si="3"/>
        <v>Moderate Usage</v>
      </c>
      <c r="T218" t="s">
        <v>34</v>
      </c>
    </row>
    <row r="219" spans="1:20" x14ac:dyDescent="0.3">
      <c r="A219" t="s">
        <v>283</v>
      </c>
      <c r="B219" t="s">
        <v>40</v>
      </c>
      <c r="C219" t="s">
        <v>27</v>
      </c>
      <c r="D219" t="s">
        <v>41</v>
      </c>
      <c r="E219" t="s">
        <v>29</v>
      </c>
      <c r="F219">
        <v>22</v>
      </c>
      <c r="G219">
        <v>120.35</v>
      </c>
      <c r="H219" t="s">
        <v>37</v>
      </c>
      <c r="I219" t="s">
        <v>31</v>
      </c>
      <c r="J219" s="1">
        <v>44849</v>
      </c>
      <c r="K219" s="1">
        <f>DATE(YEAR(subscriptions[[#This Row],[signup_date]]),MONTH(subscriptions[[#This Row],[signup_date]]),1)</f>
        <v>44835</v>
      </c>
      <c r="L219" t="s">
        <v>32</v>
      </c>
      <c r="M219" s="1">
        <v>45316</v>
      </c>
      <c r="N219" s="1">
        <f>IF(subscriptions[[#This Row],[churn_date]]="","",DATE(YEAR(subscriptions[[#This Row],[churn_date]]),MONTH(subscriptions[[#This Row],[churn_date]]),1))</f>
        <v>45292</v>
      </c>
      <c r="O219" t="s">
        <v>67</v>
      </c>
      <c r="P219">
        <v>3</v>
      </c>
      <c r="Q219">
        <v>3</v>
      </c>
      <c r="R219">
        <v>27</v>
      </c>
      <c r="S219" t="str">
        <f t="shared" si="3"/>
        <v>Moderate Usage</v>
      </c>
      <c r="T219" t="s">
        <v>34</v>
      </c>
    </row>
    <row r="220" spans="1:20" x14ac:dyDescent="0.3">
      <c r="A220" t="s">
        <v>284</v>
      </c>
      <c r="B220" t="s">
        <v>40</v>
      </c>
      <c r="C220" t="s">
        <v>36</v>
      </c>
      <c r="D220" t="s">
        <v>50</v>
      </c>
      <c r="E220" t="s">
        <v>53</v>
      </c>
      <c r="F220">
        <v>8</v>
      </c>
      <c r="G220">
        <v>50.53</v>
      </c>
      <c r="H220" t="s">
        <v>30</v>
      </c>
      <c r="I220" t="s">
        <v>31</v>
      </c>
      <c r="J220" s="1">
        <v>45160</v>
      </c>
      <c r="K220" s="1">
        <f>DATE(YEAR(subscriptions[[#This Row],[signup_date]]),MONTH(subscriptions[[#This Row],[signup_date]]),1)</f>
        <v>45139</v>
      </c>
      <c r="L220" t="s">
        <v>34</v>
      </c>
      <c r="M220" s="1"/>
      <c r="N220" s="1" t="str">
        <f>IF(subscriptions[[#This Row],[churn_date]]="","",DATE(YEAR(subscriptions[[#This Row],[churn_date]]),MONTH(subscriptions[[#This Row],[churn_date]]),1))</f>
        <v/>
      </c>
      <c r="O220" t="s">
        <v>38</v>
      </c>
      <c r="P220">
        <v>6</v>
      </c>
      <c r="Q220">
        <v>8</v>
      </c>
      <c r="R220">
        <v>32</v>
      </c>
      <c r="S220" t="str">
        <f t="shared" si="3"/>
        <v>Moderate Usage</v>
      </c>
      <c r="T220" t="s">
        <v>34</v>
      </c>
    </row>
    <row r="221" spans="1:20" x14ac:dyDescent="0.3">
      <c r="A221" t="s">
        <v>285</v>
      </c>
      <c r="B221" t="s">
        <v>26</v>
      </c>
      <c r="C221" t="s">
        <v>27</v>
      </c>
      <c r="D221" t="s">
        <v>73</v>
      </c>
      <c r="E221" t="s">
        <v>53</v>
      </c>
      <c r="F221">
        <v>1</v>
      </c>
      <c r="G221">
        <v>79</v>
      </c>
      <c r="H221" t="s">
        <v>109</v>
      </c>
      <c r="I221" t="s">
        <v>31</v>
      </c>
      <c r="J221" s="1">
        <v>45195</v>
      </c>
      <c r="K221" s="1">
        <f>DATE(YEAR(subscriptions[[#This Row],[signup_date]]),MONTH(subscriptions[[#This Row],[signup_date]]),1)</f>
        <v>45170</v>
      </c>
      <c r="L221" t="s">
        <v>32</v>
      </c>
      <c r="M221" s="1">
        <v>45788</v>
      </c>
      <c r="N221" s="1">
        <f>IF(subscriptions[[#This Row],[churn_date]]="","",DATE(YEAR(subscriptions[[#This Row],[churn_date]]),MONTH(subscriptions[[#This Row],[churn_date]]),1))</f>
        <v>45778</v>
      </c>
      <c r="O221" t="s">
        <v>33</v>
      </c>
      <c r="P221">
        <v>9</v>
      </c>
      <c r="Q221">
        <v>5</v>
      </c>
      <c r="R221">
        <v>44</v>
      </c>
      <c r="S221" t="str">
        <f t="shared" si="3"/>
        <v>Moderate Usage</v>
      </c>
      <c r="T221" t="s">
        <v>34</v>
      </c>
    </row>
    <row r="222" spans="1:20" x14ac:dyDescent="0.3">
      <c r="A222" t="s">
        <v>286</v>
      </c>
      <c r="B222" t="s">
        <v>45</v>
      </c>
      <c r="C222" t="s">
        <v>36</v>
      </c>
      <c r="D222" t="s">
        <v>46</v>
      </c>
      <c r="E222" t="s">
        <v>53</v>
      </c>
      <c r="F222">
        <v>3</v>
      </c>
      <c r="G222">
        <v>219.9</v>
      </c>
      <c r="H222" t="s">
        <v>30</v>
      </c>
      <c r="I222" t="s">
        <v>31</v>
      </c>
      <c r="J222" s="1">
        <v>45836</v>
      </c>
      <c r="K222" s="1">
        <f>DATE(YEAR(subscriptions[[#This Row],[signup_date]]),MONTH(subscriptions[[#This Row],[signup_date]]),1)</f>
        <v>45809</v>
      </c>
      <c r="L222" t="s">
        <v>34</v>
      </c>
      <c r="M222" s="1"/>
      <c r="N222" s="1" t="str">
        <f>IF(subscriptions[[#This Row],[churn_date]]="","",DATE(YEAR(subscriptions[[#This Row],[churn_date]]),MONTH(subscriptions[[#This Row],[churn_date]]),1))</f>
        <v/>
      </c>
      <c r="O222" t="s">
        <v>38</v>
      </c>
      <c r="P222">
        <v>7</v>
      </c>
      <c r="Q222">
        <v>8</v>
      </c>
      <c r="R222">
        <v>43</v>
      </c>
      <c r="S222" t="str">
        <f t="shared" si="3"/>
        <v>Moderate Usage</v>
      </c>
      <c r="T222" t="s">
        <v>34</v>
      </c>
    </row>
    <row r="223" spans="1:20" x14ac:dyDescent="0.3">
      <c r="A223" t="s">
        <v>287</v>
      </c>
      <c r="B223" t="s">
        <v>26</v>
      </c>
      <c r="C223" t="s">
        <v>27</v>
      </c>
      <c r="D223" t="s">
        <v>60</v>
      </c>
      <c r="E223" t="s">
        <v>29</v>
      </c>
      <c r="F223">
        <v>47</v>
      </c>
      <c r="G223">
        <v>624.1</v>
      </c>
      <c r="H223" t="s">
        <v>54</v>
      </c>
      <c r="I223" t="s">
        <v>48</v>
      </c>
      <c r="J223" s="1">
        <v>45568</v>
      </c>
      <c r="K223" s="1">
        <f>DATE(YEAR(subscriptions[[#This Row],[signup_date]]),MONTH(subscriptions[[#This Row],[signup_date]]),1)</f>
        <v>45566</v>
      </c>
      <c r="L223" t="s">
        <v>34</v>
      </c>
      <c r="M223" s="1"/>
      <c r="N223" s="1" t="str">
        <f>IF(subscriptions[[#This Row],[churn_date]]="","",DATE(YEAR(subscriptions[[#This Row],[churn_date]]),MONTH(subscriptions[[#This Row],[churn_date]]),1))</f>
        <v/>
      </c>
      <c r="O223" t="s">
        <v>38</v>
      </c>
      <c r="P223">
        <v>6</v>
      </c>
      <c r="Q223">
        <v>8</v>
      </c>
      <c r="R223">
        <v>63</v>
      </c>
      <c r="S223" t="str">
        <f t="shared" si="3"/>
        <v>High Usage</v>
      </c>
      <c r="T223" t="s">
        <v>32</v>
      </c>
    </row>
    <row r="224" spans="1:20" x14ac:dyDescent="0.3">
      <c r="A224" t="s">
        <v>288</v>
      </c>
      <c r="B224" t="s">
        <v>40</v>
      </c>
      <c r="C224" t="s">
        <v>27</v>
      </c>
      <c r="D224" t="s">
        <v>50</v>
      </c>
      <c r="E224" t="s">
        <v>56</v>
      </c>
      <c r="F224">
        <v>68</v>
      </c>
      <c r="G224">
        <v>320.45</v>
      </c>
      <c r="H224" t="s">
        <v>71</v>
      </c>
      <c r="I224" t="s">
        <v>31</v>
      </c>
      <c r="J224" s="1">
        <v>45748</v>
      </c>
      <c r="K224" s="1">
        <f>DATE(YEAR(subscriptions[[#This Row],[signup_date]]),MONTH(subscriptions[[#This Row],[signup_date]]),1)</f>
        <v>45748</v>
      </c>
      <c r="L224" t="s">
        <v>32</v>
      </c>
      <c r="M224" s="1">
        <v>45949</v>
      </c>
      <c r="N224" s="1">
        <f>IF(subscriptions[[#This Row],[churn_date]]="","",DATE(YEAR(subscriptions[[#This Row],[churn_date]]),MONTH(subscriptions[[#This Row],[churn_date]]),1))</f>
        <v>45931</v>
      </c>
      <c r="O224" t="s">
        <v>61</v>
      </c>
      <c r="P224">
        <v>9</v>
      </c>
      <c r="Q224">
        <v>4</v>
      </c>
      <c r="R224">
        <v>42</v>
      </c>
      <c r="S224" t="str">
        <f t="shared" si="3"/>
        <v>Moderate Usage</v>
      </c>
      <c r="T224" t="s">
        <v>34</v>
      </c>
    </row>
    <row r="225" spans="1:20" x14ac:dyDescent="0.3">
      <c r="A225" t="s">
        <v>289</v>
      </c>
      <c r="B225" t="s">
        <v>82</v>
      </c>
      <c r="C225" t="s">
        <v>36</v>
      </c>
      <c r="D225" t="s">
        <v>63</v>
      </c>
      <c r="E225" t="s">
        <v>29</v>
      </c>
      <c r="F225">
        <v>72</v>
      </c>
      <c r="G225">
        <v>4941.3500000000004</v>
      </c>
      <c r="H225" t="s">
        <v>109</v>
      </c>
      <c r="I225" t="s">
        <v>80</v>
      </c>
      <c r="J225" s="1">
        <v>45689</v>
      </c>
      <c r="K225" s="1">
        <f>DATE(YEAR(subscriptions[[#This Row],[signup_date]]),MONTH(subscriptions[[#This Row],[signup_date]]),1)</f>
        <v>45689</v>
      </c>
      <c r="L225" t="s">
        <v>32</v>
      </c>
      <c r="M225" s="1">
        <v>45701</v>
      </c>
      <c r="N225" s="1">
        <f>IF(subscriptions[[#This Row],[churn_date]]="","",DATE(YEAR(subscriptions[[#This Row],[churn_date]]),MONTH(subscriptions[[#This Row],[churn_date]]),1))</f>
        <v>45689</v>
      </c>
      <c r="O225" t="s">
        <v>93</v>
      </c>
      <c r="P225">
        <v>0</v>
      </c>
      <c r="Q225">
        <v>1</v>
      </c>
      <c r="R225">
        <v>11</v>
      </c>
      <c r="S225" t="str">
        <f t="shared" si="3"/>
        <v>Very Low Usage</v>
      </c>
      <c r="T225" t="s">
        <v>34</v>
      </c>
    </row>
    <row r="226" spans="1:20" x14ac:dyDescent="0.3">
      <c r="A226" t="s">
        <v>290</v>
      </c>
      <c r="B226" t="s">
        <v>26</v>
      </c>
      <c r="C226" t="s">
        <v>36</v>
      </c>
      <c r="D226" t="s">
        <v>90</v>
      </c>
      <c r="E226" t="s">
        <v>47</v>
      </c>
      <c r="F226">
        <v>27</v>
      </c>
      <c r="G226">
        <v>329.03</v>
      </c>
      <c r="H226" t="s">
        <v>30</v>
      </c>
      <c r="I226" t="s">
        <v>31</v>
      </c>
      <c r="J226" s="1">
        <v>45978</v>
      </c>
      <c r="K226" s="1">
        <f>DATE(YEAR(subscriptions[[#This Row],[signup_date]]),MONTH(subscriptions[[#This Row],[signup_date]]),1)</f>
        <v>45962</v>
      </c>
      <c r="L226" t="s">
        <v>34</v>
      </c>
      <c r="M226" s="1"/>
      <c r="N226" s="1" t="str">
        <f>IF(subscriptions[[#This Row],[churn_date]]="","",DATE(YEAR(subscriptions[[#This Row],[churn_date]]),MONTH(subscriptions[[#This Row],[churn_date]]),1))</f>
        <v/>
      </c>
      <c r="O226" t="s">
        <v>38</v>
      </c>
      <c r="P226">
        <v>7</v>
      </c>
      <c r="Q226">
        <v>4</v>
      </c>
      <c r="R226">
        <v>39</v>
      </c>
      <c r="S226" t="str">
        <f t="shared" si="3"/>
        <v>Moderate Usage</v>
      </c>
      <c r="T226" t="s">
        <v>34</v>
      </c>
    </row>
    <row r="227" spans="1:20" x14ac:dyDescent="0.3">
      <c r="A227" t="s">
        <v>291</v>
      </c>
      <c r="B227" t="s">
        <v>26</v>
      </c>
      <c r="C227" t="s">
        <v>27</v>
      </c>
      <c r="D227" t="s">
        <v>28</v>
      </c>
      <c r="E227" t="s">
        <v>29</v>
      </c>
      <c r="F227">
        <v>64</v>
      </c>
      <c r="G227">
        <v>825.55</v>
      </c>
      <c r="H227" t="s">
        <v>30</v>
      </c>
      <c r="I227" t="s">
        <v>48</v>
      </c>
      <c r="J227" s="1">
        <v>45765</v>
      </c>
      <c r="K227" s="1">
        <f>DATE(YEAR(subscriptions[[#This Row],[signup_date]]),MONTH(subscriptions[[#This Row],[signup_date]]),1)</f>
        <v>45748</v>
      </c>
      <c r="L227" t="s">
        <v>34</v>
      </c>
      <c r="M227" s="1"/>
      <c r="N227" s="1" t="str">
        <f>IF(subscriptions[[#This Row],[churn_date]]="","",DATE(YEAR(subscriptions[[#This Row],[churn_date]]),MONTH(subscriptions[[#This Row],[churn_date]]),1))</f>
        <v/>
      </c>
      <c r="O227" t="s">
        <v>38</v>
      </c>
      <c r="P227">
        <v>10</v>
      </c>
      <c r="Q227">
        <v>4</v>
      </c>
      <c r="R227">
        <v>87</v>
      </c>
      <c r="S227" t="str">
        <f t="shared" si="3"/>
        <v>Very High Usage</v>
      </c>
      <c r="T227" t="s">
        <v>34</v>
      </c>
    </row>
    <row r="228" spans="1:20" x14ac:dyDescent="0.3">
      <c r="A228" t="s">
        <v>292</v>
      </c>
      <c r="B228" t="s">
        <v>40</v>
      </c>
      <c r="C228" t="s">
        <v>27</v>
      </c>
      <c r="D228" t="s">
        <v>28</v>
      </c>
      <c r="E228" t="s">
        <v>53</v>
      </c>
      <c r="F228">
        <v>6</v>
      </c>
      <c r="G228">
        <v>50.75</v>
      </c>
      <c r="H228" t="s">
        <v>54</v>
      </c>
      <c r="I228" t="s">
        <v>48</v>
      </c>
      <c r="J228" s="1">
        <v>45545</v>
      </c>
      <c r="K228" s="1">
        <f>DATE(YEAR(subscriptions[[#This Row],[signup_date]]),MONTH(subscriptions[[#This Row],[signup_date]]),1)</f>
        <v>45536</v>
      </c>
      <c r="L228" t="s">
        <v>32</v>
      </c>
      <c r="M228" s="1">
        <v>45592</v>
      </c>
      <c r="N228" s="1">
        <f>IF(subscriptions[[#This Row],[churn_date]]="","",DATE(YEAR(subscriptions[[#This Row],[churn_date]]),MONTH(subscriptions[[#This Row],[churn_date]]),1))</f>
        <v>45566</v>
      </c>
      <c r="O228" t="s">
        <v>93</v>
      </c>
      <c r="P228">
        <v>5</v>
      </c>
      <c r="Q228">
        <v>3</v>
      </c>
      <c r="R228">
        <v>39</v>
      </c>
      <c r="S228" t="str">
        <f t="shared" si="3"/>
        <v>Moderate Usage</v>
      </c>
      <c r="T228" t="s">
        <v>34</v>
      </c>
    </row>
    <row r="229" spans="1:20" x14ac:dyDescent="0.3">
      <c r="A229" t="s">
        <v>293</v>
      </c>
      <c r="B229" t="s">
        <v>40</v>
      </c>
      <c r="C229" t="s">
        <v>36</v>
      </c>
      <c r="D229" t="s">
        <v>90</v>
      </c>
      <c r="E229" t="s">
        <v>47</v>
      </c>
      <c r="F229">
        <v>10</v>
      </c>
      <c r="G229">
        <v>57.93</v>
      </c>
      <c r="H229" t="s">
        <v>30</v>
      </c>
      <c r="I229" t="s">
        <v>48</v>
      </c>
      <c r="J229" s="1">
        <v>45303</v>
      </c>
      <c r="K229" s="1">
        <f>DATE(YEAR(subscriptions[[#This Row],[signup_date]]),MONTH(subscriptions[[#This Row],[signup_date]]),1)</f>
        <v>45292</v>
      </c>
      <c r="L229" t="s">
        <v>34</v>
      </c>
      <c r="M229" s="1"/>
      <c r="N229" s="1" t="str">
        <f>IF(subscriptions[[#This Row],[churn_date]]="","",DATE(YEAR(subscriptions[[#This Row],[churn_date]]),MONTH(subscriptions[[#This Row],[churn_date]]),1))</f>
        <v/>
      </c>
      <c r="O229" t="s">
        <v>38</v>
      </c>
      <c r="P229">
        <v>8</v>
      </c>
      <c r="Q229">
        <v>6</v>
      </c>
      <c r="R229">
        <v>46</v>
      </c>
      <c r="S229" t="str">
        <f t="shared" si="3"/>
        <v>Moderate Usage</v>
      </c>
      <c r="T229" t="s">
        <v>32</v>
      </c>
    </row>
    <row r="230" spans="1:20" x14ac:dyDescent="0.3">
      <c r="A230" t="s">
        <v>294</v>
      </c>
      <c r="B230" t="s">
        <v>82</v>
      </c>
      <c r="C230" t="s">
        <v>27</v>
      </c>
      <c r="D230" t="s">
        <v>50</v>
      </c>
      <c r="E230" t="s">
        <v>56</v>
      </c>
      <c r="F230">
        <v>118</v>
      </c>
      <c r="G230">
        <v>9256.4500000000007</v>
      </c>
      <c r="H230" t="s">
        <v>30</v>
      </c>
      <c r="I230" t="s">
        <v>48</v>
      </c>
      <c r="J230" s="1">
        <v>45388</v>
      </c>
      <c r="K230" s="1">
        <f>DATE(YEAR(subscriptions[[#This Row],[signup_date]]),MONTH(subscriptions[[#This Row],[signup_date]]),1)</f>
        <v>45383</v>
      </c>
      <c r="L230" t="s">
        <v>34</v>
      </c>
      <c r="M230" s="1"/>
      <c r="N230" s="1" t="str">
        <f>IF(subscriptions[[#This Row],[churn_date]]="","",DATE(YEAR(subscriptions[[#This Row],[churn_date]]),MONTH(subscriptions[[#This Row],[churn_date]]),1))</f>
        <v/>
      </c>
      <c r="O230" t="s">
        <v>38</v>
      </c>
      <c r="P230">
        <v>0</v>
      </c>
      <c r="Q230">
        <v>10</v>
      </c>
      <c r="R230">
        <v>85</v>
      </c>
      <c r="S230" t="str">
        <f t="shared" si="3"/>
        <v>Very High Usage</v>
      </c>
      <c r="T230" t="s">
        <v>34</v>
      </c>
    </row>
    <row r="231" spans="1:20" x14ac:dyDescent="0.3">
      <c r="A231" t="s">
        <v>295</v>
      </c>
      <c r="B231" t="s">
        <v>40</v>
      </c>
      <c r="C231" t="s">
        <v>27</v>
      </c>
      <c r="D231" t="s">
        <v>41</v>
      </c>
      <c r="E231" t="s">
        <v>47</v>
      </c>
      <c r="F231">
        <v>24</v>
      </c>
      <c r="G231">
        <v>129.05000000000001</v>
      </c>
      <c r="H231" t="s">
        <v>54</v>
      </c>
      <c r="I231" t="s">
        <v>31</v>
      </c>
      <c r="J231" s="1">
        <v>45087</v>
      </c>
      <c r="K231" s="1">
        <f>DATE(YEAR(subscriptions[[#This Row],[signup_date]]),MONTH(subscriptions[[#This Row],[signup_date]]),1)</f>
        <v>45078</v>
      </c>
      <c r="L231" t="s">
        <v>32</v>
      </c>
      <c r="M231" s="1">
        <v>45221</v>
      </c>
      <c r="N231" s="1">
        <f>IF(subscriptions[[#This Row],[churn_date]]="","",DATE(YEAR(subscriptions[[#This Row],[churn_date]]),MONTH(subscriptions[[#This Row],[churn_date]]),1))</f>
        <v>45200</v>
      </c>
      <c r="O231" t="s">
        <v>61</v>
      </c>
      <c r="P231">
        <v>13</v>
      </c>
      <c r="Q231">
        <v>1</v>
      </c>
      <c r="R231">
        <v>31</v>
      </c>
      <c r="S231" t="str">
        <f t="shared" si="3"/>
        <v>Moderate Usage</v>
      </c>
      <c r="T231" t="s">
        <v>34</v>
      </c>
    </row>
    <row r="232" spans="1:20" x14ac:dyDescent="0.3">
      <c r="A232" t="s">
        <v>296</v>
      </c>
      <c r="B232" t="s">
        <v>40</v>
      </c>
      <c r="C232" t="s">
        <v>27</v>
      </c>
      <c r="D232" t="s">
        <v>73</v>
      </c>
      <c r="E232" t="s">
        <v>29</v>
      </c>
      <c r="F232">
        <v>33</v>
      </c>
      <c r="G232">
        <v>168.2</v>
      </c>
      <c r="H232" t="s">
        <v>37</v>
      </c>
      <c r="I232" t="s">
        <v>31</v>
      </c>
      <c r="J232" s="1">
        <v>45246</v>
      </c>
      <c r="K232" s="1">
        <f>DATE(YEAR(subscriptions[[#This Row],[signup_date]]),MONTH(subscriptions[[#This Row],[signup_date]]),1)</f>
        <v>45231</v>
      </c>
      <c r="L232" t="s">
        <v>34</v>
      </c>
      <c r="M232" s="1"/>
      <c r="N232" s="1" t="str">
        <f>IF(subscriptions[[#This Row],[churn_date]]="","",DATE(YEAR(subscriptions[[#This Row],[churn_date]]),MONTH(subscriptions[[#This Row],[churn_date]]),1))</f>
        <v/>
      </c>
      <c r="O232" t="s">
        <v>38</v>
      </c>
      <c r="P232">
        <v>4</v>
      </c>
      <c r="Q232">
        <v>9</v>
      </c>
      <c r="R232">
        <v>52</v>
      </c>
      <c r="S232" t="str">
        <f t="shared" si="3"/>
        <v>High Usage</v>
      </c>
      <c r="T232" t="s">
        <v>34</v>
      </c>
    </row>
    <row r="233" spans="1:20" x14ac:dyDescent="0.3">
      <c r="A233" t="s">
        <v>297</v>
      </c>
      <c r="B233" t="s">
        <v>26</v>
      </c>
      <c r="C233" t="s">
        <v>27</v>
      </c>
      <c r="D233" t="s">
        <v>28</v>
      </c>
      <c r="E233" t="s">
        <v>29</v>
      </c>
      <c r="F233">
        <v>44</v>
      </c>
      <c r="G233">
        <v>588.54999999999995</v>
      </c>
      <c r="H233" t="s">
        <v>30</v>
      </c>
      <c r="I233" t="s">
        <v>48</v>
      </c>
      <c r="J233" s="1">
        <v>45817</v>
      </c>
      <c r="K233" s="1">
        <f>DATE(YEAR(subscriptions[[#This Row],[signup_date]]),MONTH(subscriptions[[#This Row],[signup_date]]),1)</f>
        <v>45809</v>
      </c>
      <c r="L233" t="s">
        <v>34</v>
      </c>
      <c r="M233" s="1"/>
      <c r="N233" s="1" t="str">
        <f>IF(subscriptions[[#This Row],[churn_date]]="","",DATE(YEAR(subscriptions[[#This Row],[churn_date]]),MONTH(subscriptions[[#This Row],[churn_date]]),1))</f>
        <v/>
      </c>
      <c r="O233" t="s">
        <v>38</v>
      </c>
      <c r="P233">
        <v>9</v>
      </c>
      <c r="Q233">
        <v>5</v>
      </c>
      <c r="R233">
        <v>71</v>
      </c>
      <c r="S233" t="str">
        <f t="shared" si="3"/>
        <v>High Usage</v>
      </c>
      <c r="T233" t="s">
        <v>34</v>
      </c>
    </row>
    <row r="234" spans="1:20" x14ac:dyDescent="0.3">
      <c r="A234" t="s">
        <v>298</v>
      </c>
      <c r="B234" t="s">
        <v>26</v>
      </c>
      <c r="C234" t="s">
        <v>27</v>
      </c>
      <c r="D234" t="s">
        <v>46</v>
      </c>
      <c r="E234" t="s">
        <v>56</v>
      </c>
      <c r="F234">
        <v>112</v>
      </c>
      <c r="G234">
        <v>1394.35</v>
      </c>
      <c r="H234" t="s">
        <v>43</v>
      </c>
      <c r="I234" t="s">
        <v>31</v>
      </c>
      <c r="J234" s="1">
        <v>45695</v>
      </c>
      <c r="K234" s="1">
        <f>DATE(YEAR(subscriptions[[#This Row],[signup_date]]),MONTH(subscriptions[[#This Row],[signup_date]]),1)</f>
        <v>45689</v>
      </c>
      <c r="L234" t="s">
        <v>34</v>
      </c>
      <c r="M234" s="1"/>
      <c r="N234" s="1" t="str">
        <f>IF(subscriptions[[#This Row],[churn_date]]="","",DATE(YEAR(subscriptions[[#This Row],[churn_date]]),MONTH(subscriptions[[#This Row],[churn_date]]),1))</f>
        <v/>
      </c>
      <c r="O234" t="s">
        <v>38</v>
      </c>
      <c r="P234">
        <v>0</v>
      </c>
      <c r="Q234">
        <v>8</v>
      </c>
      <c r="R234">
        <v>17</v>
      </c>
      <c r="S234" t="str">
        <f t="shared" si="3"/>
        <v>Very Low Usage</v>
      </c>
      <c r="T234" t="s">
        <v>34</v>
      </c>
    </row>
    <row r="235" spans="1:20" x14ac:dyDescent="0.3">
      <c r="A235" t="s">
        <v>299</v>
      </c>
      <c r="B235" t="s">
        <v>45</v>
      </c>
      <c r="C235" t="s">
        <v>27</v>
      </c>
      <c r="D235" t="s">
        <v>90</v>
      </c>
      <c r="E235" t="s">
        <v>29</v>
      </c>
      <c r="F235">
        <v>55</v>
      </c>
      <c r="G235">
        <v>1810.9</v>
      </c>
      <c r="H235" t="s">
        <v>71</v>
      </c>
      <c r="I235" t="s">
        <v>31</v>
      </c>
      <c r="J235" s="1">
        <v>45385</v>
      </c>
      <c r="K235" s="1">
        <f>DATE(YEAR(subscriptions[[#This Row],[signup_date]]),MONTH(subscriptions[[#This Row],[signup_date]]),1)</f>
        <v>45383</v>
      </c>
      <c r="L235" t="s">
        <v>32</v>
      </c>
      <c r="M235" s="1">
        <v>45630</v>
      </c>
      <c r="N235" s="1">
        <f>IF(subscriptions[[#This Row],[churn_date]]="","",DATE(YEAR(subscriptions[[#This Row],[churn_date]]),MONTH(subscriptions[[#This Row],[churn_date]]),1))</f>
        <v>45627</v>
      </c>
      <c r="O235" t="s">
        <v>57</v>
      </c>
      <c r="P235">
        <v>2</v>
      </c>
      <c r="Q235">
        <v>2</v>
      </c>
      <c r="R235">
        <v>15</v>
      </c>
      <c r="S235" t="str">
        <f t="shared" si="3"/>
        <v>Very Low Usage</v>
      </c>
      <c r="T235" t="s">
        <v>34</v>
      </c>
    </row>
    <row r="236" spans="1:20" x14ac:dyDescent="0.3">
      <c r="A236" t="s">
        <v>300</v>
      </c>
      <c r="B236" t="s">
        <v>45</v>
      </c>
      <c r="C236" t="s">
        <v>36</v>
      </c>
      <c r="D236" t="s">
        <v>90</v>
      </c>
      <c r="E236" t="s">
        <v>47</v>
      </c>
      <c r="F236">
        <v>15</v>
      </c>
      <c r="G236">
        <v>524.37</v>
      </c>
      <c r="H236" t="s">
        <v>71</v>
      </c>
      <c r="I236" t="s">
        <v>31</v>
      </c>
      <c r="J236" s="1">
        <v>45421</v>
      </c>
      <c r="K236" s="1">
        <f>DATE(YEAR(subscriptions[[#This Row],[signup_date]]),MONTH(subscriptions[[#This Row],[signup_date]]),1)</f>
        <v>45413</v>
      </c>
      <c r="L236" t="s">
        <v>34</v>
      </c>
      <c r="M236" s="1"/>
      <c r="N236" s="1" t="str">
        <f>IF(subscriptions[[#This Row],[churn_date]]="","",DATE(YEAR(subscriptions[[#This Row],[churn_date]]),MONTH(subscriptions[[#This Row],[churn_date]]),1))</f>
        <v/>
      </c>
      <c r="O236" t="s">
        <v>38</v>
      </c>
      <c r="P236">
        <v>6</v>
      </c>
      <c r="Q236">
        <v>9</v>
      </c>
      <c r="R236">
        <v>23</v>
      </c>
      <c r="S236" t="str">
        <f t="shared" si="3"/>
        <v>Moderate Usage</v>
      </c>
      <c r="T236" t="s">
        <v>32</v>
      </c>
    </row>
    <row r="237" spans="1:20" x14ac:dyDescent="0.3">
      <c r="A237" t="s">
        <v>301</v>
      </c>
      <c r="B237" t="s">
        <v>40</v>
      </c>
      <c r="C237" t="s">
        <v>27</v>
      </c>
      <c r="D237" t="s">
        <v>60</v>
      </c>
      <c r="E237" t="s">
        <v>56</v>
      </c>
      <c r="F237">
        <v>45</v>
      </c>
      <c r="G237">
        <v>220.4</v>
      </c>
      <c r="H237" t="s">
        <v>71</v>
      </c>
      <c r="I237" t="s">
        <v>48</v>
      </c>
      <c r="J237" s="1">
        <v>45117</v>
      </c>
      <c r="K237" s="1">
        <f>DATE(YEAR(subscriptions[[#This Row],[signup_date]]),MONTH(subscriptions[[#This Row],[signup_date]]),1)</f>
        <v>45108</v>
      </c>
      <c r="L237" t="s">
        <v>32</v>
      </c>
      <c r="M237" s="1">
        <v>45119</v>
      </c>
      <c r="N237" s="1">
        <f>IF(subscriptions[[#This Row],[churn_date]]="","",DATE(YEAR(subscriptions[[#This Row],[churn_date]]),MONTH(subscriptions[[#This Row],[churn_date]]),1))</f>
        <v>45108</v>
      </c>
      <c r="O237" t="s">
        <v>67</v>
      </c>
      <c r="P237">
        <v>7</v>
      </c>
      <c r="Q237">
        <v>3</v>
      </c>
      <c r="R237">
        <v>49</v>
      </c>
      <c r="S237" t="str">
        <f t="shared" si="3"/>
        <v>Moderate Usage</v>
      </c>
      <c r="T237" t="s">
        <v>34</v>
      </c>
    </row>
    <row r="238" spans="1:20" x14ac:dyDescent="0.3">
      <c r="A238" t="s">
        <v>302</v>
      </c>
      <c r="B238" t="s">
        <v>26</v>
      </c>
      <c r="C238" t="s">
        <v>27</v>
      </c>
      <c r="D238" t="s">
        <v>90</v>
      </c>
      <c r="E238" t="s">
        <v>42</v>
      </c>
      <c r="F238">
        <v>109</v>
      </c>
      <c r="G238">
        <v>1358.8</v>
      </c>
      <c r="H238" t="s">
        <v>37</v>
      </c>
      <c r="I238" t="s">
        <v>48</v>
      </c>
      <c r="J238" s="1">
        <v>44788</v>
      </c>
      <c r="K238" s="1">
        <f>DATE(YEAR(subscriptions[[#This Row],[signup_date]]),MONTH(subscriptions[[#This Row],[signup_date]]),1)</f>
        <v>44774</v>
      </c>
      <c r="L238" t="s">
        <v>34</v>
      </c>
      <c r="M238" s="1"/>
      <c r="N238" s="1" t="str">
        <f>IF(subscriptions[[#This Row],[churn_date]]="","",DATE(YEAR(subscriptions[[#This Row],[churn_date]]),MONTH(subscriptions[[#This Row],[churn_date]]),1))</f>
        <v/>
      </c>
      <c r="O238" t="s">
        <v>38</v>
      </c>
      <c r="P238">
        <v>0</v>
      </c>
      <c r="Q238">
        <v>3</v>
      </c>
      <c r="R238">
        <v>30</v>
      </c>
      <c r="S238" t="str">
        <f t="shared" si="3"/>
        <v>Moderate Usage</v>
      </c>
      <c r="T238" t="s">
        <v>34</v>
      </c>
    </row>
    <row r="239" spans="1:20" x14ac:dyDescent="0.3">
      <c r="A239" t="s">
        <v>303</v>
      </c>
      <c r="B239" t="s">
        <v>45</v>
      </c>
      <c r="C239" t="s">
        <v>27</v>
      </c>
      <c r="D239" t="s">
        <v>46</v>
      </c>
      <c r="E239" t="s">
        <v>29</v>
      </c>
      <c r="F239">
        <v>29</v>
      </c>
      <c r="G239">
        <v>1034.8</v>
      </c>
      <c r="H239" t="s">
        <v>54</v>
      </c>
      <c r="I239" t="s">
        <v>31</v>
      </c>
      <c r="J239" s="1">
        <v>45045</v>
      </c>
      <c r="K239" s="1">
        <f>DATE(YEAR(subscriptions[[#This Row],[signup_date]]),MONTH(subscriptions[[#This Row],[signup_date]]),1)</f>
        <v>45017</v>
      </c>
      <c r="L239" t="s">
        <v>34</v>
      </c>
      <c r="M239" s="1"/>
      <c r="N239" s="1" t="str">
        <f>IF(subscriptions[[#This Row],[churn_date]]="","",DATE(YEAR(subscriptions[[#This Row],[churn_date]]),MONTH(subscriptions[[#This Row],[churn_date]]),1))</f>
        <v/>
      </c>
      <c r="O239" t="s">
        <v>38</v>
      </c>
      <c r="P239">
        <v>12</v>
      </c>
      <c r="Q239">
        <v>1</v>
      </c>
      <c r="R239">
        <v>86</v>
      </c>
      <c r="S239" t="str">
        <f t="shared" si="3"/>
        <v>Very High Usage</v>
      </c>
      <c r="T239" t="s">
        <v>34</v>
      </c>
    </row>
    <row r="240" spans="1:20" x14ac:dyDescent="0.3">
      <c r="A240" t="s">
        <v>304</v>
      </c>
      <c r="B240" t="s">
        <v>45</v>
      </c>
      <c r="C240" t="s">
        <v>27</v>
      </c>
      <c r="D240" t="s">
        <v>60</v>
      </c>
      <c r="E240" t="s">
        <v>47</v>
      </c>
      <c r="F240">
        <v>34</v>
      </c>
      <c r="G240">
        <v>1184.05</v>
      </c>
      <c r="H240" t="s">
        <v>43</v>
      </c>
      <c r="I240" t="s">
        <v>80</v>
      </c>
      <c r="J240" s="1">
        <v>44667</v>
      </c>
      <c r="K240" s="1">
        <f>DATE(YEAR(subscriptions[[#This Row],[signup_date]]),MONTH(subscriptions[[#This Row],[signup_date]]),1)</f>
        <v>44652</v>
      </c>
      <c r="L240" t="s">
        <v>32</v>
      </c>
      <c r="M240" s="1">
        <v>45109</v>
      </c>
      <c r="N240" s="1">
        <f>IF(subscriptions[[#This Row],[churn_date]]="","",DATE(YEAR(subscriptions[[#This Row],[churn_date]]),MONTH(subscriptions[[#This Row],[churn_date]]),1))</f>
        <v>45108</v>
      </c>
      <c r="O240" t="s">
        <v>93</v>
      </c>
      <c r="P240">
        <v>8</v>
      </c>
      <c r="Q240">
        <v>3</v>
      </c>
      <c r="R240">
        <v>24</v>
      </c>
      <c r="S240" t="str">
        <f t="shared" si="3"/>
        <v>Moderate Usage</v>
      </c>
      <c r="T240" t="s">
        <v>34</v>
      </c>
    </row>
    <row r="241" spans="1:20" x14ac:dyDescent="0.3">
      <c r="A241" t="s">
        <v>305</v>
      </c>
      <c r="B241" t="s">
        <v>40</v>
      </c>
      <c r="C241" t="s">
        <v>36</v>
      </c>
      <c r="D241" t="s">
        <v>79</v>
      </c>
      <c r="E241" t="s">
        <v>53</v>
      </c>
      <c r="F241">
        <v>4</v>
      </c>
      <c r="G241">
        <v>35.74</v>
      </c>
      <c r="H241" t="s">
        <v>109</v>
      </c>
      <c r="I241" t="s">
        <v>66</v>
      </c>
      <c r="J241" s="1">
        <v>45703</v>
      </c>
      <c r="K241" s="1">
        <f>DATE(YEAR(subscriptions[[#This Row],[signup_date]]),MONTH(subscriptions[[#This Row],[signup_date]]),1)</f>
        <v>45689</v>
      </c>
      <c r="L241" t="s">
        <v>34</v>
      </c>
      <c r="M241" s="1"/>
      <c r="N241" s="1" t="str">
        <f>IF(subscriptions[[#This Row],[churn_date]]="","",DATE(YEAR(subscriptions[[#This Row],[churn_date]]),MONTH(subscriptions[[#This Row],[churn_date]]),1))</f>
        <v/>
      </c>
      <c r="O241" t="s">
        <v>38</v>
      </c>
      <c r="P241">
        <v>6</v>
      </c>
      <c r="Q241">
        <v>2</v>
      </c>
      <c r="R241">
        <v>23</v>
      </c>
      <c r="S241" t="str">
        <f t="shared" si="3"/>
        <v>Moderate Usage</v>
      </c>
      <c r="T241" t="s">
        <v>34</v>
      </c>
    </row>
    <row r="242" spans="1:20" x14ac:dyDescent="0.3">
      <c r="A242" t="s">
        <v>306</v>
      </c>
      <c r="B242" t="s">
        <v>40</v>
      </c>
      <c r="C242" t="s">
        <v>27</v>
      </c>
      <c r="D242" t="s">
        <v>52</v>
      </c>
      <c r="E242" t="s">
        <v>29</v>
      </c>
      <c r="F242">
        <v>66</v>
      </c>
      <c r="G242">
        <v>311.75</v>
      </c>
      <c r="H242" t="s">
        <v>54</v>
      </c>
      <c r="I242" t="s">
        <v>66</v>
      </c>
      <c r="J242" s="1">
        <v>45178</v>
      </c>
      <c r="K242" s="1">
        <f>DATE(YEAR(subscriptions[[#This Row],[signup_date]]),MONTH(subscriptions[[#This Row],[signup_date]]),1)</f>
        <v>45170</v>
      </c>
      <c r="L242" t="s">
        <v>32</v>
      </c>
      <c r="M242" s="1">
        <v>45228</v>
      </c>
      <c r="N242" s="1">
        <f>IF(subscriptions[[#This Row],[churn_date]]="","",DATE(YEAR(subscriptions[[#This Row],[churn_date]]),MONTH(subscriptions[[#This Row],[churn_date]]),1))</f>
        <v>45200</v>
      </c>
      <c r="O242" t="s">
        <v>64</v>
      </c>
      <c r="P242">
        <v>1</v>
      </c>
      <c r="Q242">
        <v>4</v>
      </c>
      <c r="R242">
        <v>15</v>
      </c>
      <c r="S242" t="str">
        <f t="shared" si="3"/>
        <v>Very Low Usage</v>
      </c>
      <c r="T242" t="s">
        <v>34</v>
      </c>
    </row>
    <row r="243" spans="1:20" x14ac:dyDescent="0.3">
      <c r="A243" t="s">
        <v>307</v>
      </c>
      <c r="B243" t="s">
        <v>45</v>
      </c>
      <c r="C243" t="s">
        <v>36</v>
      </c>
      <c r="D243" t="s">
        <v>50</v>
      </c>
      <c r="E243" t="s">
        <v>47</v>
      </c>
      <c r="F243">
        <v>10</v>
      </c>
      <c r="G243">
        <v>397.5</v>
      </c>
      <c r="H243" t="s">
        <v>71</v>
      </c>
      <c r="I243" t="s">
        <v>66</v>
      </c>
      <c r="J243" s="1">
        <v>45232</v>
      </c>
      <c r="K243" s="1">
        <f>DATE(YEAR(subscriptions[[#This Row],[signup_date]]),MONTH(subscriptions[[#This Row],[signup_date]]),1)</f>
        <v>45231</v>
      </c>
      <c r="L243" t="s">
        <v>34</v>
      </c>
      <c r="M243" s="1"/>
      <c r="N243" s="1" t="str">
        <f>IF(subscriptions[[#This Row],[churn_date]]="","",DATE(YEAR(subscriptions[[#This Row],[churn_date]]),MONTH(subscriptions[[#This Row],[churn_date]]),1))</f>
        <v/>
      </c>
      <c r="O243" t="s">
        <v>38</v>
      </c>
      <c r="P243">
        <v>1</v>
      </c>
      <c r="Q243">
        <v>8</v>
      </c>
      <c r="R243">
        <v>38</v>
      </c>
      <c r="S243" t="str">
        <f t="shared" si="3"/>
        <v>Moderate Usage</v>
      </c>
      <c r="T243" t="s">
        <v>34</v>
      </c>
    </row>
    <row r="244" spans="1:20" x14ac:dyDescent="0.3">
      <c r="A244" t="s">
        <v>308</v>
      </c>
      <c r="B244" t="s">
        <v>82</v>
      </c>
      <c r="C244" t="s">
        <v>27</v>
      </c>
      <c r="D244" t="s">
        <v>28</v>
      </c>
      <c r="E244" t="s">
        <v>56</v>
      </c>
      <c r="F244">
        <v>122</v>
      </c>
      <c r="G244">
        <v>9555.85</v>
      </c>
      <c r="H244" t="s">
        <v>30</v>
      </c>
      <c r="I244" t="s">
        <v>31</v>
      </c>
      <c r="J244" s="1">
        <v>45572</v>
      </c>
      <c r="K244" s="1">
        <f>DATE(YEAR(subscriptions[[#This Row],[signup_date]]),MONTH(subscriptions[[#This Row],[signup_date]]),1)</f>
        <v>45566</v>
      </c>
      <c r="L244" t="s">
        <v>34</v>
      </c>
      <c r="M244" s="1"/>
      <c r="N244" s="1" t="str">
        <f>IF(subscriptions[[#This Row],[churn_date]]="","",DATE(YEAR(subscriptions[[#This Row],[churn_date]]),MONTH(subscriptions[[#This Row],[churn_date]]),1))</f>
        <v/>
      </c>
      <c r="O244" t="s">
        <v>38</v>
      </c>
      <c r="P244">
        <v>4</v>
      </c>
      <c r="Q244">
        <v>7</v>
      </c>
      <c r="R244">
        <v>94</v>
      </c>
      <c r="S244" t="str">
        <f t="shared" si="3"/>
        <v>Very High Usage</v>
      </c>
      <c r="T244" t="s">
        <v>32</v>
      </c>
    </row>
    <row r="245" spans="1:20" x14ac:dyDescent="0.3">
      <c r="A245" t="s">
        <v>309</v>
      </c>
      <c r="B245" t="s">
        <v>40</v>
      </c>
      <c r="C245" t="s">
        <v>27</v>
      </c>
      <c r="D245" t="s">
        <v>52</v>
      </c>
      <c r="E245" t="s">
        <v>29</v>
      </c>
      <c r="F245">
        <v>23</v>
      </c>
      <c r="G245">
        <v>124.7</v>
      </c>
      <c r="H245" t="s">
        <v>71</v>
      </c>
      <c r="I245" t="s">
        <v>48</v>
      </c>
      <c r="J245" s="1">
        <v>45768</v>
      </c>
      <c r="K245" s="1">
        <f>DATE(YEAR(subscriptions[[#This Row],[signup_date]]),MONTH(subscriptions[[#This Row],[signup_date]]),1)</f>
        <v>45748</v>
      </c>
      <c r="L245" t="s">
        <v>32</v>
      </c>
      <c r="M245" s="1">
        <v>45784</v>
      </c>
      <c r="N245" s="1">
        <f>IF(subscriptions[[#This Row],[churn_date]]="","",DATE(YEAR(subscriptions[[#This Row],[churn_date]]),MONTH(subscriptions[[#This Row],[churn_date]]),1))</f>
        <v>45778</v>
      </c>
      <c r="O245" t="s">
        <v>57</v>
      </c>
      <c r="P245">
        <v>7</v>
      </c>
      <c r="Q245">
        <v>6</v>
      </c>
      <c r="R245">
        <v>18</v>
      </c>
      <c r="S245" t="str">
        <f t="shared" si="3"/>
        <v>Very Low Usage</v>
      </c>
      <c r="T245" t="s">
        <v>34</v>
      </c>
    </row>
    <row r="246" spans="1:20" x14ac:dyDescent="0.3">
      <c r="A246" t="s">
        <v>310</v>
      </c>
      <c r="B246" t="s">
        <v>45</v>
      </c>
      <c r="C246" t="s">
        <v>36</v>
      </c>
      <c r="D246" t="s">
        <v>50</v>
      </c>
      <c r="E246" t="s">
        <v>53</v>
      </c>
      <c r="F246">
        <v>1</v>
      </c>
      <c r="G246">
        <v>169.15</v>
      </c>
      <c r="H246" t="s">
        <v>30</v>
      </c>
      <c r="I246" t="s">
        <v>31</v>
      </c>
      <c r="J246" s="1">
        <v>45989</v>
      </c>
      <c r="K246" s="1">
        <f>DATE(YEAR(subscriptions[[#This Row],[signup_date]]),MONTH(subscriptions[[#This Row],[signup_date]]),1)</f>
        <v>45962</v>
      </c>
      <c r="L246" t="s">
        <v>34</v>
      </c>
      <c r="M246" s="1"/>
      <c r="N246" s="1" t="str">
        <f>IF(subscriptions[[#This Row],[churn_date]]="","",DATE(YEAR(subscriptions[[#This Row],[churn_date]]),MONTH(subscriptions[[#This Row],[churn_date]]),1))</f>
        <v/>
      </c>
      <c r="O246" t="s">
        <v>38</v>
      </c>
      <c r="P246">
        <v>5</v>
      </c>
      <c r="Q246">
        <v>3</v>
      </c>
      <c r="R246">
        <v>39</v>
      </c>
      <c r="S246" t="str">
        <f t="shared" si="3"/>
        <v>Moderate Usage</v>
      </c>
      <c r="T246" t="s">
        <v>34</v>
      </c>
    </row>
    <row r="247" spans="1:20" x14ac:dyDescent="0.3">
      <c r="A247" t="s">
        <v>311</v>
      </c>
      <c r="B247" t="s">
        <v>26</v>
      </c>
      <c r="C247" t="s">
        <v>27</v>
      </c>
      <c r="D247" t="s">
        <v>90</v>
      </c>
      <c r="E247" t="s">
        <v>53</v>
      </c>
      <c r="F247">
        <v>6</v>
      </c>
      <c r="G247">
        <v>138.25</v>
      </c>
      <c r="H247" t="s">
        <v>54</v>
      </c>
      <c r="I247" t="s">
        <v>48</v>
      </c>
      <c r="J247" s="1">
        <v>45397</v>
      </c>
      <c r="K247" s="1">
        <f>DATE(YEAR(subscriptions[[#This Row],[signup_date]]),MONTH(subscriptions[[#This Row],[signup_date]]),1)</f>
        <v>45383</v>
      </c>
      <c r="L247" t="s">
        <v>32</v>
      </c>
      <c r="M247" s="1">
        <v>45466</v>
      </c>
      <c r="N247" s="1">
        <f>IF(subscriptions[[#This Row],[churn_date]]="","",DATE(YEAR(subscriptions[[#This Row],[churn_date]]),MONTH(subscriptions[[#This Row],[churn_date]]),1))</f>
        <v>45444</v>
      </c>
      <c r="O247" t="s">
        <v>93</v>
      </c>
      <c r="P247">
        <v>5</v>
      </c>
      <c r="Q247">
        <v>4</v>
      </c>
      <c r="R247">
        <v>14</v>
      </c>
      <c r="S247" t="str">
        <f t="shared" si="3"/>
        <v>Very Low Usage</v>
      </c>
      <c r="T247" t="s">
        <v>34</v>
      </c>
    </row>
    <row r="248" spans="1:20" x14ac:dyDescent="0.3">
      <c r="A248" t="s">
        <v>312</v>
      </c>
      <c r="B248" t="s">
        <v>45</v>
      </c>
      <c r="C248" t="s">
        <v>36</v>
      </c>
      <c r="D248" t="s">
        <v>60</v>
      </c>
      <c r="E248" t="s">
        <v>42</v>
      </c>
      <c r="F248">
        <v>251</v>
      </c>
      <c r="G248">
        <v>6512.27</v>
      </c>
      <c r="H248" t="s">
        <v>109</v>
      </c>
      <c r="I248" t="s">
        <v>80</v>
      </c>
      <c r="J248" s="1">
        <v>45968</v>
      </c>
      <c r="K248" s="1">
        <f>DATE(YEAR(subscriptions[[#This Row],[signup_date]]),MONTH(subscriptions[[#This Row],[signup_date]]),1)</f>
        <v>45962</v>
      </c>
      <c r="L248" t="s">
        <v>34</v>
      </c>
      <c r="M248" s="1"/>
      <c r="N248" s="1" t="str">
        <f>IF(subscriptions[[#This Row],[churn_date]]="","",DATE(YEAR(subscriptions[[#This Row],[churn_date]]),MONTH(subscriptions[[#This Row],[churn_date]]),1))</f>
        <v/>
      </c>
      <c r="O248" t="s">
        <v>38</v>
      </c>
      <c r="P248">
        <v>10</v>
      </c>
      <c r="Q248">
        <v>6</v>
      </c>
      <c r="R248">
        <v>38</v>
      </c>
      <c r="S248" t="str">
        <f t="shared" si="3"/>
        <v>Moderate Usage</v>
      </c>
      <c r="T248" t="s">
        <v>34</v>
      </c>
    </row>
    <row r="249" spans="1:20" x14ac:dyDescent="0.3">
      <c r="A249" t="s">
        <v>313</v>
      </c>
      <c r="B249" t="s">
        <v>40</v>
      </c>
      <c r="C249" t="s">
        <v>36</v>
      </c>
      <c r="D249" t="s">
        <v>63</v>
      </c>
      <c r="E249" t="s">
        <v>56</v>
      </c>
      <c r="F249">
        <v>111</v>
      </c>
      <c r="G249">
        <v>431.37</v>
      </c>
      <c r="H249" t="s">
        <v>37</v>
      </c>
      <c r="I249" t="s">
        <v>48</v>
      </c>
      <c r="J249" s="1">
        <v>45373</v>
      </c>
      <c r="K249" s="1">
        <f>DATE(YEAR(subscriptions[[#This Row],[signup_date]]),MONTH(subscriptions[[#This Row],[signup_date]]),1)</f>
        <v>45352</v>
      </c>
      <c r="L249" t="s">
        <v>32</v>
      </c>
      <c r="M249" s="1">
        <v>45614</v>
      </c>
      <c r="N249" s="1">
        <f>IF(subscriptions[[#This Row],[churn_date]]="","",DATE(YEAR(subscriptions[[#This Row],[churn_date]]),MONTH(subscriptions[[#This Row],[churn_date]]),1))</f>
        <v>45597</v>
      </c>
      <c r="O249" t="s">
        <v>67</v>
      </c>
      <c r="P249">
        <v>5</v>
      </c>
      <c r="Q249">
        <v>1</v>
      </c>
      <c r="R249">
        <v>36</v>
      </c>
      <c r="S249" t="str">
        <f t="shared" si="3"/>
        <v>Moderate Usage</v>
      </c>
      <c r="T249" t="s">
        <v>34</v>
      </c>
    </row>
    <row r="250" spans="1:20" x14ac:dyDescent="0.3">
      <c r="A250" t="s">
        <v>314</v>
      </c>
      <c r="B250" t="s">
        <v>26</v>
      </c>
      <c r="C250" t="s">
        <v>27</v>
      </c>
      <c r="D250" t="s">
        <v>41</v>
      </c>
      <c r="E250" t="s">
        <v>53</v>
      </c>
      <c r="F250">
        <v>6</v>
      </c>
      <c r="G250">
        <v>138.25</v>
      </c>
      <c r="H250" t="s">
        <v>37</v>
      </c>
      <c r="I250" t="s">
        <v>31</v>
      </c>
      <c r="J250" s="1">
        <v>45765</v>
      </c>
      <c r="K250" s="1">
        <f>DATE(YEAR(subscriptions[[#This Row],[signup_date]]),MONTH(subscriptions[[#This Row],[signup_date]]),1)</f>
        <v>45748</v>
      </c>
      <c r="L250" t="s">
        <v>32</v>
      </c>
      <c r="M250" s="1">
        <v>45945</v>
      </c>
      <c r="N250" s="1">
        <f>IF(subscriptions[[#This Row],[churn_date]]="","",DATE(YEAR(subscriptions[[#This Row],[churn_date]]),MONTH(subscriptions[[#This Row],[churn_date]]),1))</f>
        <v>45931</v>
      </c>
      <c r="O250" t="s">
        <v>57</v>
      </c>
      <c r="P250">
        <v>5</v>
      </c>
      <c r="Q250">
        <v>3</v>
      </c>
      <c r="R250">
        <v>36</v>
      </c>
      <c r="S250" t="str">
        <f t="shared" si="3"/>
        <v>Moderate Usage</v>
      </c>
      <c r="T250" t="s">
        <v>34</v>
      </c>
    </row>
    <row r="251" spans="1:20" x14ac:dyDescent="0.3">
      <c r="A251" t="s">
        <v>315</v>
      </c>
      <c r="B251" t="s">
        <v>45</v>
      </c>
      <c r="C251" t="s">
        <v>27</v>
      </c>
      <c r="D251" t="s">
        <v>73</v>
      </c>
      <c r="E251" t="s">
        <v>53</v>
      </c>
      <c r="F251">
        <v>1</v>
      </c>
      <c r="G251">
        <v>199</v>
      </c>
      <c r="H251" t="s">
        <v>54</v>
      </c>
      <c r="I251" t="s">
        <v>31</v>
      </c>
      <c r="J251" s="1">
        <v>45944</v>
      </c>
      <c r="K251" s="1">
        <f>DATE(YEAR(subscriptions[[#This Row],[signup_date]]),MONTH(subscriptions[[#This Row],[signup_date]]),1)</f>
        <v>45931</v>
      </c>
      <c r="L251" t="s">
        <v>34</v>
      </c>
      <c r="M251" s="1"/>
      <c r="N251" s="1" t="str">
        <f>IF(subscriptions[[#This Row],[churn_date]]="","",DATE(YEAR(subscriptions[[#This Row],[churn_date]]),MONTH(subscriptions[[#This Row],[churn_date]]),1))</f>
        <v/>
      </c>
      <c r="O251" t="s">
        <v>38</v>
      </c>
      <c r="P251">
        <v>1</v>
      </c>
      <c r="Q251">
        <v>10</v>
      </c>
      <c r="R251">
        <v>69</v>
      </c>
      <c r="S251" t="str">
        <f t="shared" si="3"/>
        <v>High Usage</v>
      </c>
      <c r="T251" t="s">
        <v>34</v>
      </c>
    </row>
    <row r="252" spans="1:20" x14ac:dyDescent="0.3">
      <c r="A252" t="s">
        <v>316</v>
      </c>
      <c r="B252" t="s">
        <v>40</v>
      </c>
      <c r="C252" t="s">
        <v>36</v>
      </c>
      <c r="D252" t="s">
        <v>79</v>
      </c>
      <c r="E252" t="s">
        <v>47</v>
      </c>
      <c r="F252">
        <v>31</v>
      </c>
      <c r="G252">
        <v>135.57</v>
      </c>
      <c r="H252" t="s">
        <v>43</v>
      </c>
      <c r="I252" t="s">
        <v>48</v>
      </c>
      <c r="J252" s="1">
        <v>44832</v>
      </c>
      <c r="K252" s="1">
        <f>DATE(YEAR(subscriptions[[#This Row],[signup_date]]),MONTH(subscriptions[[#This Row],[signup_date]]),1)</f>
        <v>44805</v>
      </c>
      <c r="L252" t="s">
        <v>32</v>
      </c>
      <c r="M252" s="1">
        <v>45669</v>
      </c>
      <c r="N252" s="1">
        <f>IF(subscriptions[[#This Row],[churn_date]]="","",DATE(YEAR(subscriptions[[#This Row],[churn_date]]),MONTH(subscriptions[[#This Row],[churn_date]]),1))</f>
        <v>45658</v>
      </c>
      <c r="O252" t="s">
        <v>33</v>
      </c>
      <c r="P252">
        <v>0</v>
      </c>
      <c r="Q252">
        <v>6</v>
      </c>
      <c r="R252">
        <v>40</v>
      </c>
      <c r="S252" t="str">
        <f t="shared" si="3"/>
        <v>Moderate Usage</v>
      </c>
      <c r="T252" t="s">
        <v>34</v>
      </c>
    </row>
    <row r="253" spans="1:20" x14ac:dyDescent="0.3">
      <c r="A253" t="s">
        <v>317</v>
      </c>
      <c r="B253" t="s">
        <v>45</v>
      </c>
      <c r="C253" t="s">
        <v>36</v>
      </c>
      <c r="D253" t="s">
        <v>79</v>
      </c>
      <c r="E253" t="s">
        <v>47</v>
      </c>
      <c r="F253">
        <v>19</v>
      </c>
      <c r="G253">
        <v>625.86</v>
      </c>
      <c r="H253" t="s">
        <v>109</v>
      </c>
      <c r="I253" t="s">
        <v>31</v>
      </c>
      <c r="J253" s="1">
        <v>45424</v>
      </c>
      <c r="K253" s="1">
        <f>DATE(YEAR(subscriptions[[#This Row],[signup_date]]),MONTH(subscriptions[[#This Row],[signup_date]]),1)</f>
        <v>45413</v>
      </c>
      <c r="L253" t="s">
        <v>32</v>
      </c>
      <c r="M253" s="1">
        <v>45949</v>
      </c>
      <c r="N253" s="1">
        <f>IF(subscriptions[[#This Row],[churn_date]]="","",DATE(YEAR(subscriptions[[#This Row],[churn_date]]),MONTH(subscriptions[[#This Row],[churn_date]]),1))</f>
        <v>45931</v>
      </c>
      <c r="O253" t="s">
        <v>57</v>
      </c>
      <c r="P253">
        <v>15</v>
      </c>
      <c r="Q253">
        <v>2</v>
      </c>
      <c r="R253">
        <v>47</v>
      </c>
      <c r="S253" t="str">
        <f t="shared" si="3"/>
        <v>Moderate Usage</v>
      </c>
      <c r="T253" t="s">
        <v>34</v>
      </c>
    </row>
    <row r="254" spans="1:20" x14ac:dyDescent="0.3">
      <c r="A254" t="s">
        <v>318</v>
      </c>
      <c r="B254" t="s">
        <v>26</v>
      </c>
      <c r="C254" t="s">
        <v>27</v>
      </c>
      <c r="D254" t="s">
        <v>79</v>
      </c>
      <c r="E254" t="s">
        <v>47</v>
      </c>
      <c r="F254">
        <v>32</v>
      </c>
      <c r="G254">
        <v>446.35</v>
      </c>
      <c r="H254" t="s">
        <v>30</v>
      </c>
      <c r="I254" t="s">
        <v>31</v>
      </c>
      <c r="J254" s="1">
        <v>44894</v>
      </c>
      <c r="K254" s="1">
        <f>DATE(YEAR(subscriptions[[#This Row],[signup_date]]),MONTH(subscriptions[[#This Row],[signup_date]]),1)</f>
        <v>44866</v>
      </c>
      <c r="L254" t="s">
        <v>32</v>
      </c>
      <c r="M254" s="1">
        <v>45304</v>
      </c>
      <c r="N254" s="1">
        <f>IF(subscriptions[[#This Row],[churn_date]]="","",DATE(YEAR(subscriptions[[#This Row],[churn_date]]),MONTH(subscriptions[[#This Row],[churn_date]]),1))</f>
        <v>45292</v>
      </c>
      <c r="O254" t="s">
        <v>67</v>
      </c>
      <c r="P254">
        <v>7</v>
      </c>
      <c r="Q254">
        <v>1</v>
      </c>
      <c r="R254">
        <v>20</v>
      </c>
      <c r="S254" t="str">
        <f t="shared" si="3"/>
        <v>Very Low Usage</v>
      </c>
      <c r="T254" t="s">
        <v>34</v>
      </c>
    </row>
    <row r="255" spans="1:20" x14ac:dyDescent="0.3">
      <c r="A255" t="s">
        <v>319</v>
      </c>
      <c r="B255" t="s">
        <v>40</v>
      </c>
      <c r="C255" t="s">
        <v>36</v>
      </c>
      <c r="D255" t="s">
        <v>60</v>
      </c>
      <c r="E255" t="s">
        <v>47</v>
      </c>
      <c r="F255">
        <v>12</v>
      </c>
      <c r="G255">
        <v>65.319999999999993</v>
      </c>
      <c r="H255" t="s">
        <v>30</v>
      </c>
      <c r="I255" t="s">
        <v>48</v>
      </c>
      <c r="J255" s="1">
        <v>45795</v>
      </c>
      <c r="K255" s="1">
        <f>DATE(YEAR(subscriptions[[#This Row],[signup_date]]),MONTH(subscriptions[[#This Row],[signup_date]]),1)</f>
        <v>45778</v>
      </c>
      <c r="L255" t="s">
        <v>34</v>
      </c>
      <c r="M255" s="1"/>
      <c r="N255" s="1" t="str">
        <f>IF(subscriptions[[#This Row],[churn_date]]="","",DATE(YEAR(subscriptions[[#This Row],[churn_date]]),MONTH(subscriptions[[#This Row],[churn_date]]),1))</f>
        <v/>
      </c>
      <c r="O255" t="s">
        <v>38</v>
      </c>
      <c r="P255">
        <v>0</v>
      </c>
      <c r="Q255">
        <v>9</v>
      </c>
      <c r="R255">
        <v>50</v>
      </c>
      <c r="S255" t="str">
        <f t="shared" si="3"/>
        <v>Moderate Usage</v>
      </c>
      <c r="T255" t="s">
        <v>32</v>
      </c>
    </row>
    <row r="256" spans="1:20" x14ac:dyDescent="0.3">
      <c r="A256" t="s">
        <v>320</v>
      </c>
      <c r="B256" t="s">
        <v>45</v>
      </c>
      <c r="C256" t="s">
        <v>27</v>
      </c>
      <c r="D256" t="s">
        <v>46</v>
      </c>
      <c r="E256" t="s">
        <v>53</v>
      </c>
      <c r="F256">
        <v>1</v>
      </c>
      <c r="G256">
        <v>199</v>
      </c>
      <c r="H256" t="s">
        <v>30</v>
      </c>
      <c r="I256" t="s">
        <v>48</v>
      </c>
      <c r="J256" s="1">
        <v>44645</v>
      </c>
      <c r="K256" s="1">
        <f>DATE(YEAR(subscriptions[[#This Row],[signup_date]]),MONTH(subscriptions[[#This Row],[signup_date]]),1)</f>
        <v>44621</v>
      </c>
      <c r="L256" t="s">
        <v>32</v>
      </c>
      <c r="M256" s="1">
        <v>44671</v>
      </c>
      <c r="N256" s="1">
        <f>IF(subscriptions[[#This Row],[churn_date]]="","",DATE(YEAR(subscriptions[[#This Row],[churn_date]]),MONTH(subscriptions[[#This Row],[churn_date]]),1))</f>
        <v>44652</v>
      </c>
      <c r="O256" t="s">
        <v>64</v>
      </c>
      <c r="P256">
        <v>14</v>
      </c>
      <c r="Q256">
        <v>5</v>
      </c>
      <c r="R256">
        <v>28</v>
      </c>
      <c r="S256" t="str">
        <f t="shared" si="3"/>
        <v>Moderate Usage</v>
      </c>
      <c r="T256" t="s">
        <v>34</v>
      </c>
    </row>
    <row r="257" spans="1:20" x14ac:dyDescent="0.3">
      <c r="A257" t="s">
        <v>321</v>
      </c>
      <c r="B257" t="s">
        <v>45</v>
      </c>
      <c r="C257" t="s">
        <v>27</v>
      </c>
      <c r="D257" t="s">
        <v>73</v>
      </c>
      <c r="E257" t="s">
        <v>47</v>
      </c>
      <c r="F257">
        <v>7</v>
      </c>
      <c r="G257">
        <v>378.1</v>
      </c>
      <c r="H257" t="s">
        <v>30</v>
      </c>
      <c r="I257" t="s">
        <v>31</v>
      </c>
      <c r="J257" s="1">
        <v>44992</v>
      </c>
      <c r="K257" s="1">
        <f>DATE(YEAR(subscriptions[[#This Row],[signup_date]]),MONTH(subscriptions[[#This Row],[signup_date]]),1)</f>
        <v>44986</v>
      </c>
      <c r="L257" t="s">
        <v>34</v>
      </c>
      <c r="M257" s="1"/>
      <c r="N257" s="1" t="str">
        <f>IF(subscriptions[[#This Row],[churn_date]]="","",DATE(YEAR(subscriptions[[#This Row],[churn_date]]),MONTH(subscriptions[[#This Row],[churn_date]]),1))</f>
        <v/>
      </c>
      <c r="O257" t="s">
        <v>38</v>
      </c>
      <c r="P257">
        <v>10</v>
      </c>
      <c r="Q257">
        <v>10</v>
      </c>
      <c r="R257">
        <v>58</v>
      </c>
      <c r="S257" t="str">
        <f t="shared" si="3"/>
        <v>High Usage</v>
      </c>
      <c r="T257" t="s">
        <v>32</v>
      </c>
    </row>
    <row r="258" spans="1:20" x14ac:dyDescent="0.3">
      <c r="A258" t="s">
        <v>322</v>
      </c>
      <c r="B258" t="s">
        <v>40</v>
      </c>
      <c r="C258" t="s">
        <v>36</v>
      </c>
      <c r="D258" t="s">
        <v>28</v>
      </c>
      <c r="E258" t="s">
        <v>42</v>
      </c>
      <c r="F258">
        <v>285</v>
      </c>
      <c r="G258">
        <v>1074.74</v>
      </c>
      <c r="H258" t="s">
        <v>109</v>
      </c>
      <c r="I258" t="s">
        <v>31</v>
      </c>
      <c r="J258" s="1">
        <v>45562</v>
      </c>
      <c r="K258" s="1">
        <f>DATE(YEAR(subscriptions[[#This Row],[signup_date]]),MONTH(subscriptions[[#This Row],[signup_date]]),1)</f>
        <v>45536</v>
      </c>
      <c r="L258" t="s">
        <v>34</v>
      </c>
      <c r="M258" s="1"/>
      <c r="N258" s="1" t="str">
        <f>IF(subscriptions[[#This Row],[churn_date]]="","",DATE(YEAR(subscriptions[[#This Row],[churn_date]]),MONTH(subscriptions[[#This Row],[churn_date]]),1))</f>
        <v/>
      </c>
      <c r="O258" t="s">
        <v>38</v>
      </c>
      <c r="P258">
        <v>2</v>
      </c>
      <c r="Q258">
        <v>9</v>
      </c>
      <c r="R258">
        <v>91</v>
      </c>
      <c r="S258" t="str">
        <f t="shared" ref="S258:S321" si="4">IF(R258&lt;=20,"Very Low Usage",
IF(R258&lt;=50,"Moderate Usage",
IF(R258&lt;=80,"High Usage",
"Very High Usage")))</f>
        <v>Very High Usage</v>
      </c>
      <c r="T258" t="s">
        <v>32</v>
      </c>
    </row>
    <row r="259" spans="1:20" x14ac:dyDescent="0.3">
      <c r="A259" t="s">
        <v>323</v>
      </c>
      <c r="B259" t="s">
        <v>40</v>
      </c>
      <c r="C259" t="s">
        <v>36</v>
      </c>
      <c r="D259" t="s">
        <v>46</v>
      </c>
      <c r="E259" t="s">
        <v>29</v>
      </c>
      <c r="F259">
        <v>31</v>
      </c>
      <c r="G259">
        <v>135.57</v>
      </c>
      <c r="H259" t="s">
        <v>54</v>
      </c>
      <c r="I259" t="s">
        <v>48</v>
      </c>
      <c r="J259" s="1">
        <v>44670</v>
      </c>
      <c r="K259" s="1">
        <f>DATE(YEAR(subscriptions[[#This Row],[signup_date]]),MONTH(subscriptions[[#This Row],[signup_date]]),1)</f>
        <v>44652</v>
      </c>
      <c r="L259" t="s">
        <v>32</v>
      </c>
      <c r="M259" s="1">
        <v>45400</v>
      </c>
      <c r="N259" s="1">
        <f>IF(subscriptions[[#This Row],[churn_date]]="","",DATE(YEAR(subscriptions[[#This Row],[churn_date]]),MONTH(subscriptions[[#This Row],[churn_date]]),1))</f>
        <v>45383</v>
      </c>
      <c r="O259" t="s">
        <v>74</v>
      </c>
      <c r="P259">
        <v>4</v>
      </c>
      <c r="Q259">
        <v>5</v>
      </c>
      <c r="R259">
        <v>36</v>
      </c>
      <c r="S259" t="str">
        <f t="shared" si="4"/>
        <v>Moderate Usage</v>
      </c>
      <c r="T259" t="s">
        <v>34</v>
      </c>
    </row>
    <row r="260" spans="1:20" x14ac:dyDescent="0.3">
      <c r="A260" t="s">
        <v>324</v>
      </c>
      <c r="B260" t="s">
        <v>26</v>
      </c>
      <c r="C260" t="s">
        <v>36</v>
      </c>
      <c r="D260" t="s">
        <v>60</v>
      </c>
      <c r="E260" t="s">
        <v>56</v>
      </c>
      <c r="F260">
        <v>143</v>
      </c>
      <c r="G260">
        <v>1497.45</v>
      </c>
      <c r="H260" t="s">
        <v>43</v>
      </c>
      <c r="I260" t="s">
        <v>66</v>
      </c>
      <c r="J260" s="1">
        <v>45840</v>
      </c>
      <c r="K260" s="1">
        <f>DATE(YEAR(subscriptions[[#This Row],[signup_date]]),MONTH(subscriptions[[#This Row],[signup_date]]),1)</f>
        <v>45839</v>
      </c>
      <c r="L260" t="s">
        <v>34</v>
      </c>
      <c r="M260" s="1"/>
      <c r="N260" s="1" t="str">
        <f>IF(subscriptions[[#This Row],[churn_date]]="","",DATE(YEAR(subscriptions[[#This Row],[churn_date]]),MONTH(subscriptions[[#This Row],[churn_date]]),1))</f>
        <v/>
      </c>
      <c r="O260" t="s">
        <v>38</v>
      </c>
      <c r="P260">
        <v>3</v>
      </c>
      <c r="Q260">
        <v>1</v>
      </c>
      <c r="R260">
        <v>84</v>
      </c>
      <c r="S260" t="str">
        <f t="shared" si="4"/>
        <v>Very High Usage</v>
      </c>
      <c r="T260" t="s">
        <v>34</v>
      </c>
    </row>
    <row r="261" spans="1:20" x14ac:dyDescent="0.3">
      <c r="A261" t="s">
        <v>325</v>
      </c>
      <c r="B261" t="s">
        <v>26</v>
      </c>
      <c r="C261" t="s">
        <v>27</v>
      </c>
      <c r="D261" t="s">
        <v>46</v>
      </c>
      <c r="E261" t="s">
        <v>42</v>
      </c>
      <c r="F261">
        <v>193</v>
      </c>
      <c r="G261">
        <v>2354.1999999999998</v>
      </c>
      <c r="H261" t="s">
        <v>30</v>
      </c>
      <c r="I261" t="s">
        <v>31</v>
      </c>
      <c r="J261" s="1">
        <v>45137</v>
      </c>
      <c r="K261" s="1">
        <f>DATE(YEAR(subscriptions[[#This Row],[signup_date]]),MONTH(subscriptions[[#This Row],[signup_date]]),1)</f>
        <v>45108</v>
      </c>
      <c r="L261" t="s">
        <v>32</v>
      </c>
      <c r="M261" s="1">
        <v>45693</v>
      </c>
      <c r="N261" s="1">
        <f>IF(subscriptions[[#This Row],[churn_date]]="","",DATE(YEAR(subscriptions[[#This Row],[churn_date]]),MONTH(subscriptions[[#This Row],[churn_date]]),1))</f>
        <v>45689</v>
      </c>
      <c r="O261" t="s">
        <v>61</v>
      </c>
      <c r="P261">
        <v>3</v>
      </c>
      <c r="Q261">
        <v>3</v>
      </c>
      <c r="R261">
        <v>39</v>
      </c>
      <c r="S261" t="str">
        <f t="shared" si="4"/>
        <v>Moderate Usage</v>
      </c>
      <c r="T261" t="s">
        <v>34</v>
      </c>
    </row>
    <row r="262" spans="1:20" x14ac:dyDescent="0.3">
      <c r="A262" t="s">
        <v>326</v>
      </c>
      <c r="B262" t="s">
        <v>26</v>
      </c>
      <c r="C262" t="s">
        <v>36</v>
      </c>
      <c r="D262" t="s">
        <v>79</v>
      </c>
      <c r="E262" t="s">
        <v>53</v>
      </c>
      <c r="F262">
        <v>5</v>
      </c>
      <c r="G262">
        <v>107.44</v>
      </c>
      <c r="H262" t="s">
        <v>30</v>
      </c>
      <c r="I262" t="s">
        <v>31</v>
      </c>
      <c r="J262" s="1">
        <v>45543</v>
      </c>
      <c r="K262" s="1">
        <f>DATE(YEAR(subscriptions[[#This Row],[signup_date]]),MONTH(subscriptions[[#This Row],[signup_date]]),1)</f>
        <v>45536</v>
      </c>
      <c r="L262" t="s">
        <v>34</v>
      </c>
      <c r="M262" s="1"/>
      <c r="N262" s="1" t="str">
        <f>IF(subscriptions[[#This Row],[churn_date]]="","",DATE(YEAR(subscriptions[[#This Row],[churn_date]]),MONTH(subscriptions[[#This Row],[churn_date]]),1))</f>
        <v/>
      </c>
      <c r="O262" t="s">
        <v>38</v>
      </c>
      <c r="P262">
        <v>1</v>
      </c>
      <c r="Q262">
        <v>9</v>
      </c>
      <c r="R262">
        <v>95</v>
      </c>
      <c r="S262" t="str">
        <f t="shared" si="4"/>
        <v>Very High Usage</v>
      </c>
      <c r="T262" t="s">
        <v>34</v>
      </c>
    </row>
    <row r="263" spans="1:20" x14ac:dyDescent="0.3">
      <c r="A263" t="s">
        <v>327</v>
      </c>
      <c r="B263" t="s">
        <v>45</v>
      </c>
      <c r="C263" t="s">
        <v>27</v>
      </c>
      <c r="D263" t="s">
        <v>50</v>
      </c>
      <c r="E263" t="s">
        <v>53</v>
      </c>
      <c r="F263">
        <v>8</v>
      </c>
      <c r="G263">
        <v>407.95</v>
      </c>
      <c r="H263" t="s">
        <v>43</v>
      </c>
      <c r="I263" t="s">
        <v>31</v>
      </c>
      <c r="J263" s="1">
        <v>45327</v>
      </c>
      <c r="K263" s="1">
        <f>DATE(YEAR(subscriptions[[#This Row],[signup_date]]),MONTH(subscriptions[[#This Row],[signup_date]]),1)</f>
        <v>45323</v>
      </c>
      <c r="L263" t="s">
        <v>32</v>
      </c>
      <c r="M263" s="1">
        <v>45791</v>
      </c>
      <c r="N263" s="1">
        <f>IF(subscriptions[[#This Row],[churn_date]]="","",DATE(YEAR(subscriptions[[#This Row],[churn_date]]),MONTH(subscriptions[[#This Row],[churn_date]]),1))</f>
        <v>45778</v>
      </c>
      <c r="O263" t="s">
        <v>64</v>
      </c>
      <c r="P263">
        <v>14</v>
      </c>
      <c r="Q263">
        <v>6</v>
      </c>
      <c r="R263">
        <v>19</v>
      </c>
      <c r="S263" t="str">
        <f t="shared" si="4"/>
        <v>Very Low Usage</v>
      </c>
      <c r="T263" t="s">
        <v>34</v>
      </c>
    </row>
    <row r="264" spans="1:20" x14ac:dyDescent="0.3">
      <c r="A264" t="s">
        <v>328</v>
      </c>
      <c r="B264" t="s">
        <v>45</v>
      </c>
      <c r="C264" t="s">
        <v>36</v>
      </c>
      <c r="D264" t="s">
        <v>63</v>
      </c>
      <c r="E264" t="s">
        <v>47</v>
      </c>
      <c r="F264">
        <v>8</v>
      </c>
      <c r="G264">
        <v>346.76</v>
      </c>
      <c r="H264" t="s">
        <v>43</v>
      </c>
      <c r="I264" t="s">
        <v>48</v>
      </c>
      <c r="J264" s="1">
        <v>45877</v>
      </c>
      <c r="K264" s="1">
        <f>DATE(YEAR(subscriptions[[#This Row],[signup_date]]),MONTH(subscriptions[[#This Row],[signup_date]]),1)</f>
        <v>45870</v>
      </c>
      <c r="L264" t="s">
        <v>34</v>
      </c>
      <c r="M264" s="1"/>
      <c r="N264" s="1" t="str">
        <f>IF(subscriptions[[#This Row],[churn_date]]="","",DATE(YEAR(subscriptions[[#This Row],[churn_date]]),MONTH(subscriptions[[#This Row],[churn_date]]),1))</f>
        <v/>
      </c>
      <c r="O264" t="s">
        <v>38</v>
      </c>
      <c r="P264">
        <v>3</v>
      </c>
      <c r="Q264">
        <v>6</v>
      </c>
      <c r="R264">
        <v>43</v>
      </c>
      <c r="S264" t="str">
        <f t="shared" si="4"/>
        <v>Moderate Usage</v>
      </c>
      <c r="T264" t="s">
        <v>34</v>
      </c>
    </row>
    <row r="265" spans="1:20" x14ac:dyDescent="0.3">
      <c r="A265" t="s">
        <v>329</v>
      </c>
      <c r="B265" t="s">
        <v>40</v>
      </c>
      <c r="C265" t="s">
        <v>27</v>
      </c>
      <c r="D265" t="s">
        <v>60</v>
      </c>
      <c r="E265" t="s">
        <v>29</v>
      </c>
      <c r="F265">
        <v>52</v>
      </c>
      <c r="G265">
        <v>250.85</v>
      </c>
      <c r="H265" t="s">
        <v>30</v>
      </c>
      <c r="I265" t="s">
        <v>31</v>
      </c>
      <c r="J265" s="1">
        <v>45702</v>
      </c>
      <c r="K265" s="1">
        <f>DATE(YEAR(subscriptions[[#This Row],[signup_date]]),MONTH(subscriptions[[#This Row],[signup_date]]),1)</f>
        <v>45689</v>
      </c>
      <c r="L265" t="s">
        <v>34</v>
      </c>
      <c r="M265" s="1"/>
      <c r="N265" s="1" t="str">
        <f>IF(subscriptions[[#This Row],[churn_date]]="","",DATE(YEAR(subscriptions[[#This Row],[churn_date]]),MONTH(subscriptions[[#This Row],[churn_date]]),1))</f>
        <v/>
      </c>
      <c r="O265" t="s">
        <v>38</v>
      </c>
      <c r="P265">
        <v>2</v>
      </c>
      <c r="Q265">
        <v>7</v>
      </c>
      <c r="R265">
        <v>42</v>
      </c>
      <c r="S265" t="str">
        <f t="shared" si="4"/>
        <v>Moderate Usage</v>
      </c>
      <c r="T265" t="s">
        <v>34</v>
      </c>
    </row>
    <row r="266" spans="1:20" x14ac:dyDescent="0.3">
      <c r="A266" t="s">
        <v>330</v>
      </c>
      <c r="B266" t="s">
        <v>26</v>
      </c>
      <c r="C266" t="s">
        <v>27</v>
      </c>
      <c r="D266" t="s">
        <v>50</v>
      </c>
      <c r="E266" t="s">
        <v>29</v>
      </c>
      <c r="F266">
        <v>45</v>
      </c>
      <c r="G266">
        <v>600.4</v>
      </c>
      <c r="H266" t="s">
        <v>71</v>
      </c>
      <c r="I266" t="s">
        <v>31</v>
      </c>
      <c r="J266" s="1">
        <v>45738</v>
      </c>
      <c r="K266" s="1">
        <f>DATE(YEAR(subscriptions[[#This Row],[signup_date]]),MONTH(subscriptions[[#This Row],[signup_date]]),1)</f>
        <v>45717</v>
      </c>
      <c r="L266" t="s">
        <v>34</v>
      </c>
      <c r="M266" s="1"/>
      <c r="N266" s="1" t="str">
        <f>IF(subscriptions[[#This Row],[churn_date]]="","",DATE(YEAR(subscriptions[[#This Row],[churn_date]]),MONTH(subscriptions[[#This Row],[churn_date]]),1))</f>
        <v/>
      </c>
      <c r="O266" t="s">
        <v>38</v>
      </c>
      <c r="P266">
        <v>11</v>
      </c>
      <c r="Q266">
        <v>1</v>
      </c>
      <c r="R266">
        <v>56</v>
      </c>
      <c r="S266" t="str">
        <f t="shared" si="4"/>
        <v>High Usage</v>
      </c>
      <c r="T266" t="s">
        <v>34</v>
      </c>
    </row>
    <row r="267" spans="1:20" x14ac:dyDescent="0.3">
      <c r="A267" t="s">
        <v>331</v>
      </c>
      <c r="B267" t="s">
        <v>40</v>
      </c>
      <c r="C267" t="s">
        <v>36</v>
      </c>
      <c r="D267" t="s">
        <v>28</v>
      </c>
      <c r="E267" t="s">
        <v>47</v>
      </c>
      <c r="F267">
        <v>22</v>
      </c>
      <c r="G267">
        <v>102.3</v>
      </c>
      <c r="H267" t="s">
        <v>54</v>
      </c>
      <c r="I267" t="s">
        <v>31</v>
      </c>
      <c r="J267" s="1">
        <v>44665</v>
      </c>
      <c r="K267" s="1">
        <f>DATE(YEAR(subscriptions[[#This Row],[signup_date]]),MONTH(subscriptions[[#This Row],[signup_date]]),1)</f>
        <v>44652</v>
      </c>
      <c r="L267" t="s">
        <v>32</v>
      </c>
      <c r="M267" s="1">
        <v>44750</v>
      </c>
      <c r="N267" s="1">
        <f>IF(subscriptions[[#This Row],[churn_date]]="","",DATE(YEAR(subscriptions[[#This Row],[churn_date]]),MONTH(subscriptions[[#This Row],[churn_date]]),1))</f>
        <v>44743</v>
      </c>
      <c r="O267" t="s">
        <v>64</v>
      </c>
      <c r="P267">
        <v>5</v>
      </c>
      <c r="Q267">
        <v>4</v>
      </c>
      <c r="R267">
        <v>20</v>
      </c>
      <c r="S267" t="str">
        <f t="shared" si="4"/>
        <v>Very Low Usage</v>
      </c>
      <c r="T267" t="s">
        <v>34</v>
      </c>
    </row>
    <row r="268" spans="1:20" x14ac:dyDescent="0.3">
      <c r="A268" t="s">
        <v>332</v>
      </c>
      <c r="B268" t="s">
        <v>82</v>
      </c>
      <c r="C268" t="s">
        <v>27</v>
      </c>
      <c r="D268" t="s">
        <v>90</v>
      </c>
      <c r="E268" t="s">
        <v>53</v>
      </c>
      <c r="F268">
        <v>3</v>
      </c>
      <c r="G268">
        <v>648.70000000000005</v>
      </c>
      <c r="H268" t="s">
        <v>71</v>
      </c>
      <c r="I268" t="s">
        <v>66</v>
      </c>
      <c r="J268" s="1">
        <v>45053</v>
      </c>
      <c r="K268" s="1">
        <f>DATE(YEAR(subscriptions[[#This Row],[signup_date]]),MONTH(subscriptions[[#This Row],[signup_date]]),1)</f>
        <v>45047</v>
      </c>
      <c r="L268" t="s">
        <v>34</v>
      </c>
      <c r="M268" s="1"/>
      <c r="N268" s="1" t="str">
        <f>IF(subscriptions[[#This Row],[churn_date]]="","",DATE(YEAR(subscriptions[[#This Row],[churn_date]]),MONTH(subscriptions[[#This Row],[churn_date]]),1))</f>
        <v/>
      </c>
      <c r="O268" t="s">
        <v>38</v>
      </c>
      <c r="P268">
        <v>3</v>
      </c>
      <c r="Q268">
        <v>1</v>
      </c>
      <c r="R268">
        <v>41</v>
      </c>
      <c r="S268" t="str">
        <f t="shared" si="4"/>
        <v>Moderate Usage</v>
      </c>
      <c r="T268" t="s">
        <v>34</v>
      </c>
    </row>
    <row r="269" spans="1:20" x14ac:dyDescent="0.3">
      <c r="A269" t="s">
        <v>333</v>
      </c>
      <c r="B269" t="s">
        <v>26</v>
      </c>
      <c r="C269" t="s">
        <v>36</v>
      </c>
      <c r="D269" t="s">
        <v>28</v>
      </c>
      <c r="E269" t="s">
        <v>56</v>
      </c>
      <c r="F269">
        <v>49</v>
      </c>
      <c r="G269">
        <v>550.63</v>
      </c>
      <c r="H269" t="s">
        <v>30</v>
      </c>
      <c r="I269" t="s">
        <v>31</v>
      </c>
      <c r="J269" s="1">
        <v>44830</v>
      </c>
      <c r="K269" s="1">
        <f>DATE(YEAR(subscriptions[[#This Row],[signup_date]]),MONTH(subscriptions[[#This Row],[signup_date]]),1)</f>
        <v>44805</v>
      </c>
      <c r="L269" t="s">
        <v>34</v>
      </c>
      <c r="M269" s="1"/>
      <c r="N269" s="1" t="str">
        <f>IF(subscriptions[[#This Row],[churn_date]]="","",DATE(YEAR(subscriptions[[#This Row],[churn_date]]),MONTH(subscriptions[[#This Row],[churn_date]]),1))</f>
        <v/>
      </c>
      <c r="O269" t="s">
        <v>38</v>
      </c>
      <c r="P269">
        <v>12</v>
      </c>
      <c r="Q269">
        <v>7</v>
      </c>
      <c r="R269">
        <v>46</v>
      </c>
      <c r="S269" t="str">
        <f t="shared" si="4"/>
        <v>Moderate Usage</v>
      </c>
      <c r="T269" t="s">
        <v>34</v>
      </c>
    </row>
    <row r="270" spans="1:20" x14ac:dyDescent="0.3">
      <c r="A270" t="s">
        <v>334</v>
      </c>
      <c r="B270" t="s">
        <v>26</v>
      </c>
      <c r="C270" t="s">
        <v>27</v>
      </c>
      <c r="D270" t="s">
        <v>90</v>
      </c>
      <c r="E270" t="s">
        <v>53</v>
      </c>
      <c r="F270">
        <v>3</v>
      </c>
      <c r="G270">
        <v>102.7</v>
      </c>
      <c r="H270" t="s">
        <v>109</v>
      </c>
      <c r="I270" t="s">
        <v>66</v>
      </c>
      <c r="J270" s="1">
        <v>45750</v>
      </c>
      <c r="K270" s="1">
        <f>DATE(YEAR(subscriptions[[#This Row],[signup_date]]),MONTH(subscriptions[[#This Row],[signup_date]]),1)</f>
        <v>45748</v>
      </c>
      <c r="L270" t="s">
        <v>32</v>
      </c>
      <c r="M270" s="1">
        <v>46002</v>
      </c>
      <c r="N270" s="1">
        <f>IF(subscriptions[[#This Row],[churn_date]]="","",DATE(YEAR(subscriptions[[#This Row],[churn_date]]),MONTH(subscriptions[[#This Row],[churn_date]]),1))</f>
        <v>45992</v>
      </c>
      <c r="O270" t="s">
        <v>74</v>
      </c>
      <c r="P270">
        <v>3</v>
      </c>
      <c r="Q270">
        <v>2</v>
      </c>
      <c r="R270">
        <v>20</v>
      </c>
      <c r="S270" t="str">
        <f t="shared" si="4"/>
        <v>Very Low Usage</v>
      </c>
      <c r="T270" t="s">
        <v>34</v>
      </c>
    </row>
    <row r="271" spans="1:20" x14ac:dyDescent="0.3">
      <c r="A271" t="s">
        <v>335</v>
      </c>
      <c r="B271" t="s">
        <v>26</v>
      </c>
      <c r="C271" t="s">
        <v>27</v>
      </c>
      <c r="D271" t="s">
        <v>60</v>
      </c>
      <c r="E271" t="s">
        <v>29</v>
      </c>
      <c r="F271">
        <v>66</v>
      </c>
      <c r="G271">
        <v>849.25</v>
      </c>
      <c r="H271" t="s">
        <v>54</v>
      </c>
      <c r="I271" t="s">
        <v>31</v>
      </c>
      <c r="J271" s="1">
        <v>44982</v>
      </c>
      <c r="K271" s="1">
        <f>DATE(YEAR(subscriptions[[#This Row],[signup_date]]),MONTH(subscriptions[[#This Row],[signup_date]]),1)</f>
        <v>44958</v>
      </c>
      <c r="L271" t="s">
        <v>32</v>
      </c>
      <c r="M271" s="1">
        <v>45872</v>
      </c>
      <c r="N271" s="1">
        <f>IF(subscriptions[[#This Row],[churn_date]]="","",DATE(YEAR(subscriptions[[#This Row],[churn_date]]),MONTH(subscriptions[[#This Row],[churn_date]]),1))</f>
        <v>45870</v>
      </c>
      <c r="O271" t="s">
        <v>33</v>
      </c>
      <c r="P271">
        <v>6</v>
      </c>
      <c r="Q271">
        <v>2</v>
      </c>
      <c r="R271">
        <v>37</v>
      </c>
      <c r="S271" t="str">
        <f t="shared" si="4"/>
        <v>Moderate Usage</v>
      </c>
      <c r="T271" t="s">
        <v>34</v>
      </c>
    </row>
    <row r="272" spans="1:20" x14ac:dyDescent="0.3">
      <c r="A272" t="s">
        <v>336</v>
      </c>
      <c r="B272" t="s">
        <v>26</v>
      </c>
      <c r="C272" t="s">
        <v>27</v>
      </c>
      <c r="D272" t="s">
        <v>52</v>
      </c>
      <c r="E272" t="s">
        <v>47</v>
      </c>
      <c r="F272">
        <v>13</v>
      </c>
      <c r="G272">
        <v>221.2</v>
      </c>
      <c r="H272" t="s">
        <v>30</v>
      </c>
      <c r="I272" t="s">
        <v>31</v>
      </c>
      <c r="J272" s="1">
        <v>45712</v>
      </c>
      <c r="K272" s="1">
        <f>DATE(YEAR(subscriptions[[#This Row],[signup_date]]),MONTH(subscriptions[[#This Row],[signup_date]]),1)</f>
        <v>45689</v>
      </c>
      <c r="L272" t="s">
        <v>32</v>
      </c>
      <c r="M272" s="1">
        <v>45721</v>
      </c>
      <c r="N272" s="1">
        <f>IF(subscriptions[[#This Row],[churn_date]]="","",DATE(YEAR(subscriptions[[#This Row],[churn_date]]),MONTH(subscriptions[[#This Row],[churn_date]]),1))</f>
        <v>45717</v>
      </c>
      <c r="O272" t="s">
        <v>67</v>
      </c>
      <c r="P272">
        <v>6</v>
      </c>
      <c r="Q272">
        <v>4</v>
      </c>
      <c r="R272">
        <v>19</v>
      </c>
      <c r="S272" t="str">
        <f t="shared" si="4"/>
        <v>Very Low Usage</v>
      </c>
      <c r="T272" t="s">
        <v>34</v>
      </c>
    </row>
    <row r="273" spans="1:20" x14ac:dyDescent="0.3">
      <c r="A273" t="s">
        <v>337</v>
      </c>
      <c r="B273" t="s">
        <v>40</v>
      </c>
      <c r="C273" t="s">
        <v>27</v>
      </c>
      <c r="D273" t="s">
        <v>79</v>
      </c>
      <c r="E273" t="s">
        <v>56</v>
      </c>
      <c r="F273">
        <v>103</v>
      </c>
      <c r="G273">
        <v>472.7</v>
      </c>
      <c r="H273" t="s">
        <v>43</v>
      </c>
      <c r="I273" t="s">
        <v>48</v>
      </c>
      <c r="J273" s="1">
        <v>45343</v>
      </c>
      <c r="K273" s="1">
        <f>DATE(YEAR(subscriptions[[#This Row],[signup_date]]),MONTH(subscriptions[[#This Row],[signup_date]]),1)</f>
        <v>45323</v>
      </c>
      <c r="L273" t="s">
        <v>32</v>
      </c>
      <c r="M273" s="1">
        <v>45439</v>
      </c>
      <c r="N273" s="1">
        <f>IF(subscriptions[[#This Row],[churn_date]]="","",DATE(YEAR(subscriptions[[#This Row],[churn_date]]),MONTH(subscriptions[[#This Row],[churn_date]]),1))</f>
        <v>45413</v>
      </c>
      <c r="O273" t="s">
        <v>64</v>
      </c>
      <c r="P273">
        <v>11</v>
      </c>
      <c r="Q273">
        <v>1</v>
      </c>
      <c r="R273">
        <v>14</v>
      </c>
      <c r="S273" t="str">
        <f t="shared" si="4"/>
        <v>Very Low Usage</v>
      </c>
      <c r="T273" t="s">
        <v>34</v>
      </c>
    </row>
    <row r="274" spans="1:20" x14ac:dyDescent="0.3">
      <c r="A274" t="s">
        <v>338</v>
      </c>
      <c r="B274" t="s">
        <v>26</v>
      </c>
      <c r="C274" t="s">
        <v>36</v>
      </c>
      <c r="D274" t="s">
        <v>50</v>
      </c>
      <c r="E274" t="s">
        <v>53</v>
      </c>
      <c r="F274">
        <v>6</v>
      </c>
      <c r="G274">
        <v>117.51</v>
      </c>
      <c r="H274" t="s">
        <v>30</v>
      </c>
      <c r="I274" t="s">
        <v>80</v>
      </c>
      <c r="J274" s="1">
        <v>46022</v>
      </c>
      <c r="K274" s="1">
        <f>DATE(YEAR(subscriptions[[#This Row],[signup_date]]),MONTH(subscriptions[[#This Row],[signup_date]]),1)</f>
        <v>45992</v>
      </c>
      <c r="L274" t="s">
        <v>34</v>
      </c>
      <c r="M274" s="1"/>
      <c r="N274" s="1" t="str">
        <f>IF(subscriptions[[#This Row],[churn_date]]="","",DATE(YEAR(subscriptions[[#This Row],[churn_date]]),MONTH(subscriptions[[#This Row],[churn_date]]),1))</f>
        <v/>
      </c>
      <c r="O274" t="s">
        <v>38</v>
      </c>
      <c r="P274">
        <v>2</v>
      </c>
      <c r="Q274">
        <v>9</v>
      </c>
      <c r="R274">
        <v>20</v>
      </c>
      <c r="S274" t="str">
        <f t="shared" si="4"/>
        <v>Very Low Usage</v>
      </c>
      <c r="T274" t="s">
        <v>34</v>
      </c>
    </row>
    <row r="275" spans="1:20" x14ac:dyDescent="0.3">
      <c r="A275" t="s">
        <v>339</v>
      </c>
      <c r="B275" t="s">
        <v>26</v>
      </c>
      <c r="C275" t="s">
        <v>36</v>
      </c>
      <c r="D275" t="s">
        <v>41</v>
      </c>
      <c r="E275" t="s">
        <v>29</v>
      </c>
      <c r="F275">
        <v>41</v>
      </c>
      <c r="G275">
        <v>470.05</v>
      </c>
      <c r="H275" t="s">
        <v>43</v>
      </c>
      <c r="I275" t="s">
        <v>48</v>
      </c>
      <c r="J275" s="1">
        <v>45882</v>
      </c>
      <c r="K275" s="1">
        <f>DATE(YEAR(subscriptions[[#This Row],[signup_date]]),MONTH(subscriptions[[#This Row],[signup_date]]),1)</f>
        <v>45870</v>
      </c>
      <c r="L275" t="s">
        <v>34</v>
      </c>
      <c r="M275" s="1"/>
      <c r="N275" s="1" t="str">
        <f>IF(subscriptions[[#This Row],[churn_date]]="","",DATE(YEAR(subscriptions[[#This Row],[churn_date]]),MONTH(subscriptions[[#This Row],[churn_date]]),1))</f>
        <v/>
      </c>
      <c r="O275" t="s">
        <v>38</v>
      </c>
      <c r="P275">
        <v>2</v>
      </c>
      <c r="Q275">
        <v>8</v>
      </c>
      <c r="R275">
        <v>37</v>
      </c>
      <c r="S275" t="str">
        <f t="shared" si="4"/>
        <v>Moderate Usage</v>
      </c>
      <c r="T275" t="s">
        <v>34</v>
      </c>
    </row>
    <row r="276" spans="1:20" x14ac:dyDescent="0.3">
      <c r="A276" t="s">
        <v>340</v>
      </c>
      <c r="B276" t="s">
        <v>45</v>
      </c>
      <c r="C276" t="s">
        <v>27</v>
      </c>
      <c r="D276" t="s">
        <v>73</v>
      </c>
      <c r="E276" t="s">
        <v>53</v>
      </c>
      <c r="F276">
        <v>6</v>
      </c>
      <c r="G276">
        <v>348.25</v>
      </c>
      <c r="H276" t="s">
        <v>30</v>
      </c>
      <c r="I276" t="s">
        <v>80</v>
      </c>
      <c r="J276" s="1">
        <v>45566</v>
      </c>
      <c r="K276" s="1">
        <f>DATE(YEAR(subscriptions[[#This Row],[signup_date]]),MONTH(subscriptions[[#This Row],[signup_date]]),1)</f>
        <v>45566</v>
      </c>
      <c r="L276" t="s">
        <v>34</v>
      </c>
      <c r="M276" s="1"/>
      <c r="N276" s="1" t="str">
        <f>IF(subscriptions[[#This Row],[churn_date]]="","",DATE(YEAR(subscriptions[[#This Row],[churn_date]]),MONTH(subscriptions[[#This Row],[churn_date]]),1))</f>
        <v/>
      </c>
      <c r="O276" t="s">
        <v>38</v>
      </c>
      <c r="P276">
        <v>7</v>
      </c>
      <c r="Q276">
        <v>7</v>
      </c>
      <c r="R276">
        <v>30</v>
      </c>
      <c r="S276" t="str">
        <f t="shared" si="4"/>
        <v>Moderate Usage</v>
      </c>
      <c r="T276" t="s">
        <v>34</v>
      </c>
    </row>
    <row r="277" spans="1:20" x14ac:dyDescent="0.3">
      <c r="A277" t="s">
        <v>341</v>
      </c>
      <c r="B277" t="s">
        <v>40</v>
      </c>
      <c r="C277" t="s">
        <v>27</v>
      </c>
      <c r="D277" t="s">
        <v>79</v>
      </c>
      <c r="E277" t="s">
        <v>56</v>
      </c>
      <c r="F277">
        <v>50</v>
      </c>
      <c r="G277">
        <v>242.15</v>
      </c>
      <c r="H277" t="s">
        <v>54</v>
      </c>
      <c r="I277" t="s">
        <v>66</v>
      </c>
      <c r="J277" s="1">
        <v>45319</v>
      </c>
      <c r="K277" s="1">
        <f>DATE(YEAR(subscriptions[[#This Row],[signup_date]]),MONTH(subscriptions[[#This Row],[signup_date]]),1)</f>
        <v>45292</v>
      </c>
      <c r="L277" t="s">
        <v>34</v>
      </c>
      <c r="M277" s="1"/>
      <c r="N277" s="1" t="str">
        <f>IF(subscriptions[[#This Row],[churn_date]]="","",DATE(YEAR(subscriptions[[#This Row],[churn_date]]),MONTH(subscriptions[[#This Row],[churn_date]]),1))</f>
        <v/>
      </c>
      <c r="O277" t="s">
        <v>38</v>
      </c>
      <c r="P277">
        <v>0</v>
      </c>
      <c r="Q277">
        <v>3</v>
      </c>
      <c r="R277">
        <v>40</v>
      </c>
      <c r="S277" t="str">
        <f t="shared" si="4"/>
        <v>Moderate Usage</v>
      </c>
      <c r="T277" t="s">
        <v>32</v>
      </c>
    </row>
    <row r="278" spans="1:20" x14ac:dyDescent="0.3">
      <c r="A278" t="s">
        <v>342</v>
      </c>
      <c r="B278" t="s">
        <v>82</v>
      </c>
      <c r="C278" t="s">
        <v>27</v>
      </c>
      <c r="D278" t="s">
        <v>73</v>
      </c>
      <c r="E278" t="s">
        <v>47</v>
      </c>
      <c r="F278">
        <v>31</v>
      </c>
      <c r="G278">
        <v>2744.5</v>
      </c>
      <c r="H278" t="s">
        <v>54</v>
      </c>
      <c r="I278" t="s">
        <v>48</v>
      </c>
      <c r="J278" s="1">
        <v>44959</v>
      </c>
      <c r="K278" s="1">
        <f>DATE(YEAR(subscriptions[[#This Row],[signup_date]]),MONTH(subscriptions[[#This Row],[signup_date]]),1)</f>
        <v>44958</v>
      </c>
      <c r="L278" t="s">
        <v>32</v>
      </c>
      <c r="M278" s="1">
        <v>45053</v>
      </c>
      <c r="N278" s="1">
        <f>IF(subscriptions[[#This Row],[churn_date]]="","",DATE(YEAR(subscriptions[[#This Row],[churn_date]]),MONTH(subscriptions[[#This Row],[churn_date]]),1))</f>
        <v>45047</v>
      </c>
      <c r="O278" t="s">
        <v>61</v>
      </c>
      <c r="P278">
        <v>3</v>
      </c>
      <c r="Q278">
        <v>1</v>
      </c>
      <c r="R278">
        <v>12</v>
      </c>
      <c r="S278" t="str">
        <f t="shared" si="4"/>
        <v>Very Low Usage</v>
      </c>
      <c r="T278" t="s">
        <v>34</v>
      </c>
    </row>
    <row r="279" spans="1:20" x14ac:dyDescent="0.3">
      <c r="A279" t="s">
        <v>343</v>
      </c>
      <c r="B279" t="s">
        <v>45</v>
      </c>
      <c r="C279" t="s">
        <v>27</v>
      </c>
      <c r="D279" t="s">
        <v>41</v>
      </c>
      <c r="E279" t="s">
        <v>29</v>
      </c>
      <c r="F279">
        <v>48</v>
      </c>
      <c r="G279">
        <v>1601.95</v>
      </c>
      <c r="H279" t="s">
        <v>30</v>
      </c>
      <c r="I279" t="s">
        <v>48</v>
      </c>
      <c r="J279" s="1">
        <v>45947</v>
      </c>
      <c r="K279" s="1">
        <f>DATE(YEAR(subscriptions[[#This Row],[signup_date]]),MONTH(subscriptions[[#This Row],[signup_date]]),1)</f>
        <v>45931</v>
      </c>
      <c r="L279" t="s">
        <v>34</v>
      </c>
      <c r="M279" s="1"/>
      <c r="N279" s="1" t="str">
        <f>IF(subscriptions[[#This Row],[churn_date]]="","",DATE(YEAR(subscriptions[[#This Row],[churn_date]]),MONTH(subscriptions[[#This Row],[churn_date]]),1))</f>
        <v/>
      </c>
      <c r="O279" t="s">
        <v>38</v>
      </c>
      <c r="P279">
        <v>7</v>
      </c>
      <c r="Q279">
        <v>4</v>
      </c>
      <c r="R279">
        <v>52</v>
      </c>
      <c r="S279" t="str">
        <f t="shared" si="4"/>
        <v>High Usage</v>
      </c>
      <c r="T279" t="s">
        <v>34</v>
      </c>
    </row>
    <row r="280" spans="1:20" x14ac:dyDescent="0.3">
      <c r="A280" t="s">
        <v>344</v>
      </c>
      <c r="B280" t="s">
        <v>40</v>
      </c>
      <c r="C280" t="s">
        <v>27</v>
      </c>
      <c r="D280" t="s">
        <v>41</v>
      </c>
      <c r="E280" t="s">
        <v>53</v>
      </c>
      <c r="F280">
        <v>7</v>
      </c>
      <c r="G280">
        <v>55.1</v>
      </c>
      <c r="H280" t="s">
        <v>30</v>
      </c>
      <c r="I280" t="s">
        <v>31</v>
      </c>
      <c r="J280" s="1">
        <v>45909</v>
      </c>
      <c r="K280" s="1">
        <f>DATE(YEAR(subscriptions[[#This Row],[signup_date]]),MONTH(subscriptions[[#This Row],[signup_date]]),1)</f>
        <v>45901</v>
      </c>
      <c r="L280" t="s">
        <v>34</v>
      </c>
      <c r="M280" s="1"/>
      <c r="N280" s="1" t="str">
        <f>IF(subscriptions[[#This Row],[churn_date]]="","",DATE(YEAR(subscriptions[[#This Row],[churn_date]]),MONTH(subscriptions[[#This Row],[churn_date]]),1))</f>
        <v/>
      </c>
      <c r="O280" t="s">
        <v>38</v>
      </c>
      <c r="P280">
        <v>4</v>
      </c>
      <c r="Q280">
        <v>3</v>
      </c>
      <c r="R280">
        <v>93</v>
      </c>
      <c r="S280" t="str">
        <f t="shared" si="4"/>
        <v>Very High Usage</v>
      </c>
      <c r="T280" t="s">
        <v>34</v>
      </c>
    </row>
    <row r="281" spans="1:20" x14ac:dyDescent="0.3">
      <c r="A281" t="s">
        <v>345</v>
      </c>
      <c r="B281" t="s">
        <v>40</v>
      </c>
      <c r="C281" t="s">
        <v>27</v>
      </c>
      <c r="D281" t="s">
        <v>63</v>
      </c>
      <c r="E281" t="s">
        <v>53</v>
      </c>
      <c r="F281">
        <v>3</v>
      </c>
      <c r="G281">
        <v>37.700000000000003</v>
      </c>
      <c r="H281" t="s">
        <v>37</v>
      </c>
      <c r="I281" t="s">
        <v>48</v>
      </c>
      <c r="J281" s="1">
        <v>45778</v>
      </c>
      <c r="K281" s="1">
        <f>DATE(YEAR(subscriptions[[#This Row],[signup_date]]),MONTH(subscriptions[[#This Row],[signup_date]]),1)</f>
        <v>45778</v>
      </c>
      <c r="L281" t="s">
        <v>34</v>
      </c>
      <c r="M281" s="1"/>
      <c r="N281" s="1" t="str">
        <f>IF(subscriptions[[#This Row],[churn_date]]="","",DATE(YEAR(subscriptions[[#This Row],[churn_date]]),MONTH(subscriptions[[#This Row],[churn_date]]),1))</f>
        <v/>
      </c>
      <c r="O281" t="s">
        <v>38</v>
      </c>
      <c r="P281">
        <v>2</v>
      </c>
      <c r="Q281">
        <v>6</v>
      </c>
      <c r="R281">
        <v>66</v>
      </c>
      <c r="S281" t="str">
        <f t="shared" si="4"/>
        <v>High Usage</v>
      </c>
      <c r="T281" t="s">
        <v>34</v>
      </c>
    </row>
    <row r="282" spans="1:20" x14ac:dyDescent="0.3">
      <c r="A282" t="s">
        <v>346</v>
      </c>
      <c r="B282" t="s">
        <v>45</v>
      </c>
      <c r="C282" t="s">
        <v>36</v>
      </c>
      <c r="D282" t="s">
        <v>79</v>
      </c>
      <c r="E282" t="s">
        <v>47</v>
      </c>
      <c r="F282">
        <v>25</v>
      </c>
      <c r="G282">
        <v>778.09</v>
      </c>
      <c r="H282" t="s">
        <v>43</v>
      </c>
      <c r="I282" t="s">
        <v>31</v>
      </c>
      <c r="J282" s="1">
        <v>45819</v>
      </c>
      <c r="K282" s="1">
        <f>DATE(YEAR(subscriptions[[#This Row],[signup_date]]),MONTH(subscriptions[[#This Row],[signup_date]]),1)</f>
        <v>45809</v>
      </c>
      <c r="L282" t="s">
        <v>34</v>
      </c>
      <c r="M282" s="1"/>
      <c r="N282" s="1" t="str">
        <f>IF(subscriptions[[#This Row],[churn_date]]="","",DATE(YEAR(subscriptions[[#This Row],[churn_date]]),MONTH(subscriptions[[#This Row],[churn_date]]),1))</f>
        <v/>
      </c>
      <c r="O282" t="s">
        <v>38</v>
      </c>
      <c r="P282">
        <v>4</v>
      </c>
      <c r="Q282">
        <v>3</v>
      </c>
      <c r="R282">
        <v>90</v>
      </c>
      <c r="S282" t="str">
        <f t="shared" si="4"/>
        <v>Very High Usage</v>
      </c>
      <c r="T282" t="s">
        <v>34</v>
      </c>
    </row>
    <row r="283" spans="1:20" x14ac:dyDescent="0.3">
      <c r="A283" t="s">
        <v>347</v>
      </c>
      <c r="B283" t="s">
        <v>26</v>
      </c>
      <c r="C283" t="s">
        <v>27</v>
      </c>
      <c r="D283" t="s">
        <v>41</v>
      </c>
      <c r="E283" t="s">
        <v>47</v>
      </c>
      <c r="F283">
        <v>15</v>
      </c>
      <c r="G283">
        <v>244.9</v>
      </c>
      <c r="H283" t="s">
        <v>43</v>
      </c>
      <c r="I283" t="s">
        <v>31</v>
      </c>
      <c r="J283" s="1">
        <v>45780</v>
      </c>
      <c r="K283" s="1">
        <f>DATE(YEAR(subscriptions[[#This Row],[signup_date]]),MONTH(subscriptions[[#This Row],[signup_date]]),1)</f>
        <v>45778</v>
      </c>
      <c r="L283" t="s">
        <v>34</v>
      </c>
      <c r="M283" s="1"/>
      <c r="N283" s="1" t="str">
        <f>IF(subscriptions[[#This Row],[churn_date]]="","",DATE(YEAR(subscriptions[[#This Row],[churn_date]]),MONTH(subscriptions[[#This Row],[churn_date]]),1))</f>
        <v/>
      </c>
      <c r="O283" t="s">
        <v>38</v>
      </c>
      <c r="P283">
        <v>1</v>
      </c>
      <c r="Q283">
        <v>6</v>
      </c>
      <c r="R283">
        <v>86</v>
      </c>
      <c r="S283" t="str">
        <f t="shared" si="4"/>
        <v>Very High Usage</v>
      </c>
      <c r="T283" t="s">
        <v>32</v>
      </c>
    </row>
    <row r="284" spans="1:20" x14ac:dyDescent="0.3">
      <c r="A284" t="s">
        <v>348</v>
      </c>
      <c r="B284" t="s">
        <v>26</v>
      </c>
      <c r="C284" t="s">
        <v>27</v>
      </c>
      <c r="D284" t="s">
        <v>50</v>
      </c>
      <c r="E284" t="s">
        <v>29</v>
      </c>
      <c r="F284">
        <v>18</v>
      </c>
      <c r="G284">
        <v>280.45</v>
      </c>
      <c r="H284" t="s">
        <v>71</v>
      </c>
      <c r="I284" t="s">
        <v>31</v>
      </c>
      <c r="J284" s="1">
        <v>44887</v>
      </c>
      <c r="K284" s="1">
        <f>DATE(YEAR(subscriptions[[#This Row],[signup_date]]),MONTH(subscriptions[[#This Row],[signup_date]]),1)</f>
        <v>44866</v>
      </c>
      <c r="L284" t="s">
        <v>32</v>
      </c>
      <c r="M284" s="1">
        <v>45925</v>
      </c>
      <c r="N284" s="1">
        <f>IF(subscriptions[[#This Row],[churn_date]]="","",DATE(YEAR(subscriptions[[#This Row],[churn_date]]),MONTH(subscriptions[[#This Row],[churn_date]]),1))</f>
        <v>45901</v>
      </c>
      <c r="O284" t="s">
        <v>61</v>
      </c>
      <c r="P284">
        <v>6</v>
      </c>
      <c r="Q284">
        <v>2</v>
      </c>
      <c r="R284">
        <v>11</v>
      </c>
      <c r="S284" t="str">
        <f t="shared" si="4"/>
        <v>Very Low Usage</v>
      </c>
      <c r="T284" t="s">
        <v>34</v>
      </c>
    </row>
    <row r="285" spans="1:20" x14ac:dyDescent="0.3">
      <c r="A285" t="s">
        <v>349</v>
      </c>
      <c r="B285" t="s">
        <v>40</v>
      </c>
      <c r="C285" t="s">
        <v>27</v>
      </c>
      <c r="D285" t="s">
        <v>50</v>
      </c>
      <c r="E285" t="s">
        <v>56</v>
      </c>
      <c r="F285">
        <v>82</v>
      </c>
      <c r="G285">
        <v>381.35</v>
      </c>
      <c r="H285" t="s">
        <v>30</v>
      </c>
      <c r="I285" t="s">
        <v>31</v>
      </c>
      <c r="J285" s="1">
        <v>45606</v>
      </c>
      <c r="K285" s="1">
        <f>DATE(YEAR(subscriptions[[#This Row],[signup_date]]),MONTH(subscriptions[[#This Row],[signup_date]]),1)</f>
        <v>45597</v>
      </c>
      <c r="L285" t="s">
        <v>34</v>
      </c>
      <c r="M285" s="1"/>
      <c r="N285" s="1" t="str">
        <f>IF(subscriptions[[#This Row],[churn_date]]="","",DATE(YEAR(subscriptions[[#This Row],[churn_date]]),MONTH(subscriptions[[#This Row],[churn_date]]),1))</f>
        <v/>
      </c>
      <c r="O285" t="s">
        <v>38</v>
      </c>
      <c r="P285">
        <v>10</v>
      </c>
      <c r="Q285">
        <v>4</v>
      </c>
      <c r="R285">
        <v>84</v>
      </c>
      <c r="S285" t="str">
        <f t="shared" si="4"/>
        <v>Very High Usage</v>
      </c>
      <c r="T285" t="s">
        <v>32</v>
      </c>
    </row>
    <row r="286" spans="1:20" x14ac:dyDescent="0.3">
      <c r="A286" t="s">
        <v>350</v>
      </c>
      <c r="B286" t="s">
        <v>40</v>
      </c>
      <c r="C286" t="s">
        <v>27</v>
      </c>
      <c r="D286" t="s">
        <v>63</v>
      </c>
      <c r="E286" t="s">
        <v>56</v>
      </c>
      <c r="F286">
        <v>111</v>
      </c>
      <c r="G286">
        <v>507.5</v>
      </c>
      <c r="H286" t="s">
        <v>109</v>
      </c>
      <c r="I286" t="s">
        <v>31</v>
      </c>
      <c r="J286" s="1">
        <v>46004</v>
      </c>
      <c r="K286" s="1">
        <f>DATE(YEAR(subscriptions[[#This Row],[signup_date]]),MONTH(subscriptions[[#This Row],[signup_date]]),1)</f>
        <v>45992</v>
      </c>
      <c r="L286" t="s">
        <v>34</v>
      </c>
      <c r="M286" s="1"/>
      <c r="N286" s="1" t="str">
        <f>IF(subscriptions[[#This Row],[churn_date]]="","",DATE(YEAR(subscriptions[[#This Row],[churn_date]]),MONTH(subscriptions[[#This Row],[churn_date]]),1))</f>
        <v/>
      </c>
      <c r="O286" t="s">
        <v>38</v>
      </c>
      <c r="P286">
        <v>9</v>
      </c>
      <c r="Q286">
        <v>7</v>
      </c>
      <c r="R286">
        <v>73</v>
      </c>
      <c r="S286" t="str">
        <f t="shared" si="4"/>
        <v>High Usage</v>
      </c>
      <c r="T286" t="s">
        <v>34</v>
      </c>
    </row>
    <row r="287" spans="1:20" x14ac:dyDescent="0.3">
      <c r="A287" t="s">
        <v>351</v>
      </c>
      <c r="B287" t="s">
        <v>45</v>
      </c>
      <c r="C287" t="s">
        <v>36</v>
      </c>
      <c r="D287" t="s">
        <v>41</v>
      </c>
      <c r="E287" t="s">
        <v>53</v>
      </c>
      <c r="F287">
        <v>2</v>
      </c>
      <c r="G287">
        <v>194.52</v>
      </c>
      <c r="H287" t="s">
        <v>30</v>
      </c>
      <c r="I287" t="s">
        <v>80</v>
      </c>
      <c r="J287" s="1">
        <v>45109</v>
      </c>
      <c r="K287" s="1">
        <f>DATE(YEAR(subscriptions[[#This Row],[signup_date]]),MONTH(subscriptions[[#This Row],[signup_date]]),1)</f>
        <v>45108</v>
      </c>
      <c r="L287" t="s">
        <v>32</v>
      </c>
      <c r="M287" s="1">
        <v>45194</v>
      </c>
      <c r="N287" s="1">
        <f>IF(subscriptions[[#This Row],[churn_date]]="","",DATE(YEAR(subscriptions[[#This Row],[churn_date]]),MONTH(subscriptions[[#This Row],[churn_date]]),1))</f>
        <v>45170</v>
      </c>
      <c r="O287" t="s">
        <v>64</v>
      </c>
      <c r="P287">
        <v>1</v>
      </c>
      <c r="Q287">
        <v>2</v>
      </c>
      <c r="R287">
        <v>39</v>
      </c>
      <c r="S287" t="str">
        <f t="shared" si="4"/>
        <v>Moderate Usage</v>
      </c>
      <c r="T287" t="s">
        <v>34</v>
      </c>
    </row>
    <row r="288" spans="1:20" x14ac:dyDescent="0.3">
      <c r="A288" t="s">
        <v>352</v>
      </c>
      <c r="B288" t="s">
        <v>82</v>
      </c>
      <c r="C288" t="s">
        <v>27</v>
      </c>
      <c r="D288" t="s">
        <v>50</v>
      </c>
      <c r="E288" t="s">
        <v>29</v>
      </c>
      <c r="F288">
        <v>71</v>
      </c>
      <c r="G288">
        <v>5738.5</v>
      </c>
      <c r="H288" t="s">
        <v>54</v>
      </c>
      <c r="I288" t="s">
        <v>31</v>
      </c>
      <c r="J288" s="1">
        <v>44939</v>
      </c>
      <c r="K288" s="1">
        <f>DATE(YEAR(subscriptions[[#This Row],[signup_date]]),MONTH(subscriptions[[#This Row],[signup_date]]),1)</f>
        <v>44927</v>
      </c>
      <c r="L288" t="s">
        <v>34</v>
      </c>
      <c r="M288" s="1"/>
      <c r="N288" s="1" t="str">
        <f>IF(subscriptions[[#This Row],[churn_date]]="","",DATE(YEAR(subscriptions[[#This Row],[churn_date]]),MONTH(subscriptions[[#This Row],[churn_date]]),1))</f>
        <v/>
      </c>
      <c r="O288" t="s">
        <v>38</v>
      </c>
      <c r="P288">
        <v>9</v>
      </c>
      <c r="Q288">
        <v>10</v>
      </c>
      <c r="R288">
        <v>36</v>
      </c>
      <c r="S288" t="str">
        <f t="shared" si="4"/>
        <v>Moderate Usage</v>
      </c>
      <c r="T288" t="s">
        <v>34</v>
      </c>
    </row>
    <row r="289" spans="1:20" x14ac:dyDescent="0.3">
      <c r="A289" t="s">
        <v>353</v>
      </c>
      <c r="B289" t="s">
        <v>45</v>
      </c>
      <c r="C289" t="s">
        <v>27</v>
      </c>
      <c r="D289" t="s">
        <v>52</v>
      </c>
      <c r="E289" t="s">
        <v>47</v>
      </c>
      <c r="F289">
        <v>19</v>
      </c>
      <c r="G289">
        <v>736.3</v>
      </c>
      <c r="H289" t="s">
        <v>30</v>
      </c>
      <c r="I289" t="s">
        <v>31</v>
      </c>
      <c r="J289" s="1">
        <v>45738</v>
      </c>
      <c r="K289" s="1">
        <f>DATE(YEAR(subscriptions[[#This Row],[signup_date]]),MONTH(subscriptions[[#This Row],[signup_date]]),1)</f>
        <v>45717</v>
      </c>
      <c r="L289" t="s">
        <v>34</v>
      </c>
      <c r="M289" s="1"/>
      <c r="N289" s="1" t="str">
        <f>IF(subscriptions[[#This Row],[churn_date]]="","",DATE(YEAR(subscriptions[[#This Row],[churn_date]]),MONTH(subscriptions[[#This Row],[churn_date]]),1))</f>
        <v/>
      </c>
      <c r="O289" t="s">
        <v>38</v>
      </c>
      <c r="P289">
        <v>12</v>
      </c>
      <c r="Q289">
        <v>9</v>
      </c>
      <c r="R289">
        <v>47</v>
      </c>
      <c r="S289" t="str">
        <f t="shared" si="4"/>
        <v>Moderate Usage</v>
      </c>
      <c r="T289" t="s">
        <v>32</v>
      </c>
    </row>
    <row r="290" spans="1:20" x14ac:dyDescent="0.3">
      <c r="A290" t="s">
        <v>354</v>
      </c>
      <c r="B290" t="s">
        <v>26</v>
      </c>
      <c r="C290" t="s">
        <v>27</v>
      </c>
      <c r="D290" t="s">
        <v>50</v>
      </c>
      <c r="E290" t="s">
        <v>29</v>
      </c>
      <c r="F290">
        <v>51</v>
      </c>
      <c r="G290">
        <v>671.5</v>
      </c>
      <c r="H290" t="s">
        <v>30</v>
      </c>
      <c r="I290" t="s">
        <v>31</v>
      </c>
      <c r="J290" s="1">
        <v>44567</v>
      </c>
      <c r="K290" s="1">
        <f>DATE(YEAR(subscriptions[[#This Row],[signup_date]]),MONTH(subscriptions[[#This Row],[signup_date]]),1)</f>
        <v>44562</v>
      </c>
      <c r="L290" t="s">
        <v>34</v>
      </c>
      <c r="M290" s="1"/>
      <c r="N290" s="1" t="str">
        <f>IF(subscriptions[[#This Row],[churn_date]]="","",DATE(YEAR(subscriptions[[#This Row],[churn_date]]),MONTH(subscriptions[[#This Row],[churn_date]]),1))</f>
        <v/>
      </c>
      <c r="O290" t="s">
        <v>38</v>
      </c>
      <c r="P290">
        <v>3</v>
      </c>
      <c r="Q290">
        <v>7</v>
      </c>
      <c r="R290">
        <v>75</v>
      </c>
      <c r="S290" t="str">
        <f t="shared" si="4"/>
        <v>High Usage</v>
      </c>
      <c r="T290" t="s">
        <v>34</v>
      </c>
    </row>
    <row r="291" spans="1:20" x14ac:dyDescent="0.3">
      <c r="A291" t="s">
        <v>355</v>
      </c>
      <c r="B291" t="s">
        <v>45</v>
      </c>
      <c r="C291" t="s">
        <v>36</v>
      </c>
      <c r="D291" t="s">
        <v>90</v>
      </c>
      <c r="E291" t="s">
        <v>56</v>
      </c>
      <c r="F291">
        <v>55</v>
      </c>
      <c r="G291">
        <v>1539.27</v>
      </c>
      <c r="H291" t="s">
        <v>71</v>
      </c>
      <c r="I291" t="s">
        <v>80</v>
      </c>
      <c r="J291" s="1">
        <v>44771</v>
      </c>
      <c r="K291" s="1">
        <f>DATE(YEAR(subscriptions[[#This Row],[signup_date]]),MONTH(subscriptions[[#This Row],[signup_date]]),1)</f>
        <v>44743</v>
      </c>
      <c r="L291" t="s">
        <v>32</v>
      </c>
      <c r="M291" s="1">
        <v>45441</v>
      </c>
      <c r="N291" s="1">
        <f>IF(subscriptions[[#This Row],[churn_date]]="","",DATE(YEAR(subscriptions[[#This Row],[churn_date]]),MONTH(subscriptions[[#This Row],[churn_date]]),1))</f>
        <v>45413</v>
      </c>
      <c r="O291" t="s">
        <v>57</v>
      </c>
      <c r="P291">
        <v>8</v>
      </c>
      <c r="Q291">
        <v>2</v>
      </c>
      <c r="R291">
        <v>34</v>
      </c>
      <c r="S291" t="str">
        <f t="shared" si="4"/>
        <v>Moderate Usage</v>
      </c>
      <c r="T291" t="s">
        <v>34</v>
      </c>
    </row>
    <row r="292" spans="1:20" x14ac:dyDescent="0.3">
      <c r="A292" t="s">
        <v>356</v>
      </c>
      <c r="B292" t="s">
        <v>82</v>
      </c>
      <c r="C292" t="s">
        <v>36</v>
      </c>
      <c r="D292" t="s">
        <v>41</v>
      </c>
      <c r="E292" t="s">
        <v>29</v>
      </c>
      <c r="F292">
        <v>16</v>
      </c>
      <c r="G292">
        <v>1378.49</v>
      </c>
      <c r="H292" t="s">
        <v>109</v>
      </c>
      <c r="I292" t="s">
        <v>31</v>
      </c>
      <c r="J292" s="1">
        <v>44938</v>
      </c>
      <c r="K292" s="1">
        <f>DATE(YEAR(subscriptions[[#This Row],[signup_date]]),MONTH(subscriptions[[#This Row],[signup_date]]),1)</f>
        <v>44927</v>
      </c>
      <c r="L292" t="s">
        <v>34</v>
      </c>
      <c r="M292" s="1"/>
      <c r="N292" s="1" t="str">
        <f>IF(subscriptions[[#This Row],[churn_date]]="","",DATE(YEAR(subscriptions[[#This Row],[churn_date]]),MONTH(subscriptions[[#This Row],[churn_date]]),1))</f>
        <v/>
      </c>
      <c r="O292" t="s">
        <v>38</v>
      </c>
      <c r="P292">
        <v>9</v>
      </c>
      <c r="Q292">
        <v>6</v>
      </c>
      <c r="R292">
        <v>31</v>
      </c>
      <c r="S292" t="str">
        <f t="shared" si="4"/>
        <v>Moderate Usage</v>
      </c>
      <c r="T292" t="s">
        <v>34</v>
      </c>
    </row>
    <row r="293" spans="1:20" x14ac:dyDescent="0.3">
      <c r="A293" t="s">
        <v>357</v>
      </c>
      <c r="B293" t="s">
        <v>26</v>
      </c>
      <c r="C293" t="s">
        <v>27</v>
      </c>
      <c r="D293" t="s">
        <v>52</v>
      </c>
      <c r="E293" t="s">
        <v>53</v>
      </c>
      <c r="F293">
        <v>8</v>
      </c>
      <c r="G293">
        <v>161.94999999999999</v>
      </c>
      <c r="H293" t="s">
        <v>37</v>
      </c>
      <c r="I293" t="s">
        <v>31</v>
      </c>
      <c r="J293" s="1">
        <v>45110</v>
      </c>
      <c r="K293" s="1">
        <f>DATE(YEAR(subscriptions[[#This Row],[signup_date]]),MONTH(subscriptions[[#This Row],[signup_date]]),1)</f>
        <v>45108</v>
      </c>
      <c r="L293" t="s">
        <v>32</v>
      </c>
      <c r="M293" s="1">
        <v>45688</v>
      </c>
      <c r="N293" s="1">
        <f>IF(subscriptions[[#This Row],[churn_date]]="","",DATE(YEAR(subscriptions[[#This Row],[churn_date]]),MONTH(subscriptions[[#This Row],[churn_date]]),1))</f>
        <v>45658</v>
      </c>
      <c r="O293" t="s">
        <v>61</v>
      </c>
      <c r="P293">
        <v>3</v>
      </c>
      <c r="Q293">
        <v>1</v>
      </c>
      <c r="R293">
        <v>32</v>
      </c>
      <c r="S293" t="str">
        <f t="shared" si="4"/>
        <v>Moderate Usage</v>
      </c>
      <c r="T293" t="s">
        <v>34</v>
      </c>
    </row>
    <row r="294" spans="1:20" x14ac:dyDescent="0.3">
      <c r="A294" t="s">
        <v>358</v>
      </c>
      <c r="B294" t="s">
        <v>26</v>
      </c>
      <c r="C294" t="s">
        <v>27</v>
      </c>
      <c r="D294" t="s">
        <v>41</v>
      </c>
      <c r="E294" t="s">
        <v>47</v>
      </c>
      <c r="F294">
        <v>24</v>
      </c>
      <c r="G294">
        <v>351.55</v>
      </c>
      <c r="H294" t="s">
        <v>37</v>
      </c>
      <c r="I294" t="s">
        <v>31</v>
      </c>
      <c r="J294" s="1">
        <v>44613</v>
      </c>
      <c r="K294" s="1">
        <f>DATE(YEAR(subscriptions[[#This Row],[signup_date]]),MONTH(subscriptions[[#This Row],[signup_date]]),1)</f>
        <v>44593</v>
      </c>
      <c r="L294" t="s">
        <v>32</v>
      </c>
      <c r="M294" s="1">
        <v>44784</v>
      </c>
      <c r="N294" s="1">
        <f>IF(subscriptions[[#This Row],[churn_date]]="","",DATE(YEAR(subscriptions[[#This Row],[churn_date]]),MONTH(subscriptions[[#This Row],[churn_date]]),1))</f>
        <v>44774</v>
      </c>
      <c r="O294" t="s">
        <v>61</v>
      </c>
      <c r="P294">
        <v>8</v>
      </c>
      <c r="Q294">
        <v>1</v>
      </c>
      <c r="R294">
        <v>35</v>
      </c>
      <c r="S294" t="str">
        <f t="shared" si="4"/>
        <v>Moderate Usage</v>
      </c>
      <c r="T294" t="s">
        <v>34</v>
      </c>
    </row>
    <row r="295" spans="1:20" x14ac:dyDescent="0.3">
      <c r="A295" t="s">
        <v>359</v>
      </c>
      <c r="B295" t="s">
        <v>45</v>
      </c>
      <c r="C295" t="s">
        <v>27</v>
      </c>
      <c r="D295" t="s">
        <v>41</v>
      </c>
      <c r="E295" t="s">
        <v>29</v>
      </c>
      <c r="F295">
        <v>51</v>
      </c>
      <c r="G295">
        <v>1691.5</v>
      </c>
      <c r="H295" t="s">
        <v>54</v>
      </c>
      <c r="I295" t="s">
        <v>31</v>
      </c>
      <c r="J295" s="1">
        <v>45891</v>
      </c>
      <c r="K295" s="1">
        <f>DATE(YEAR(subscriptions[[#This Row],[signup_date]]),MONTH(subscriptions[[#This Row],[signup_date]]),1)</f>
        <v>45870</v>
      </c>
      <c r="L295" t="s">
        <v>32</v>
      </c>
      <c r="M295" s="1">
        <v>45975</v>
      </c>
      <c r="N295" s="1">
        <f>IF(subscriptions[[#This Row],[churn_date]]="","",DATE(YEAR(subscriptions[[#This Row],[churn_date]]),MONTH(subscriptions[[#This Row],[churn_date]]),1))</f>
        <v>45962</v>
      </c>
      <c r="O295" t="s">
        <v>61</v>
      </c>
      <c r="P295">
        <v>1</v>
      </c>
      <c r="Q295">
        <v>4</v>
      </c>
      <c r="R295">
        <v>25</v>
      </c>
      <c r="S295" t="str">
        <f t="shared" si="4"/>
        <v>Moderate Usage</v>
      </c>
      <c r="T295" t="s">
        <v>34</v>
      </c>
    </row>
    <row r="296" spans="1:20" x14ac:dyDescent="0.3">
      <c r="A296" t="s">
        <v>360</v>
      </c>
      <c r="B296" t="s">
        <v>40</v>
      </c>
      <c r="C296" t="s">
        <v>27</v>
      </c>
      <c r="D296" t="s">
        <v>50</v>
      </c>
      <c r="E296" t="s">
        <v>56</v>
      </c>
      <c r="F296">
        <v>34</v>
      </c>
      <c r="G296">
        <v>172.55</v>
      </c>
      <c r="H296" t="s">
        <v>54</v>
      </c>
      <c r="I296" t="s">
        <v>48</v>
      </c>
      <c r="J296" s="1">
        <v>44846</v>
      </c>
      <c r="K296" s="1">
        <f>DATE(YEAR(subscriptions[[#This Row],[signup_date]]),MONTH(subscriptions[[#This Row],[signup_date]]),1)</f>
        <v>44835</v>
      </c>
      <c r="L296" t="s">
        <v>32</v>
      </c>
      <c r="M296" s="1">
        <v>44863</v>
      </c>
      <c r="N296" s="1">
        <f>IF(subscriptions[[#This Row],[churn_date]]="","",DATE(YEAR(subscriptions[[#This Row],[churn_date]]),MONTH(subscriptions[[#This Row],[churn_date]]),1))</f>
        <v>44835</v>
      </c>
      <c r="O296" t="s">
        <v>64</v>
      </c>
      <c r="P296">
        <v>6</v>
      </c>
      <c r="Q296">
        <v>4</v>
      </c>
      <c r="R296">
        <v>12</v>
      </c>
      <c r="S296" t="str">
        <f t="shared" si="4"/>
        <v>Very Low Usage</v>
      </c>
      <c r="T296" t="s">
        <v>34</v>
      </c>
    </row>
    <row r="297" spans="1:20" x14ac:dyDescent="0.3">
      <c r="A297" t="s">
        <v>361</v>
      </c>
      <c r="B297" t="s">
        <v>40</v>
      </c>
      <c r="C297" t="s">
        <v>27</v>
      </c>
      <c r="D297" t="s">
        <v>73</v>
      </c>
      <c r="E297" t="s">
        <v>56</v>
      </c>
      <c r="F297">
        <v>146</v>
      </c>
      <c r="G297">
        <v>659.75</v>
      </c>
      <c r="H297" t="s">
        <v>43</v>
      </c>
      <c r="I297" t="s">
        <v>31</v>
      </c>
      <c r="J297" s="1">
        <v>45218</v>
      </c>
      <c r="K297" s="1">
        <f>DATE(YEAR(subscriptions[[#This Row],[signup_date]]),MONTH(subscriptions[[#This Row],[signup_date]]),1)</f>
        <v>45200</v>
      </c>
      <c r="L297" t="s">
        <v>32</v>
      </c>
      <c r="M297" s="1">
        <v>45240</v>
      </c>
      <c r="N297" s="1">
        <f>IF(subscriptions[[#This Row],[churn_date]]="","",DATE(YEAR(subscriptions[[#This Row],[churn_date]]),MONTH(subscriptions[[#This Row],[churn_date]]),1))</f>
        <v>45231</v>
      </c>
      <c r="O297" t="s">
        <v>33</v>
      </c>
      <c r="P297">
        <v>8</v>
      </c>
      <c r="Q297">
        <v>3</v>
      </c>
      <c r="R297">
        <v>13</v>
      </c>
      <c r="S297" t="str">
        <f t="shared" si="4"/>
        <v>Very Low Usage</v>
      </c>
      <c r="T297" t="s">
        <v>34</v>
      </c>
    </row>
    <row r="298" spans="1:20" x14ac:dyDescent="0.3">
      <c r="A298" t="s">
        <v>362</v>
      </c>
      <c r="B298" t="s">
        <v>45</v>
      </c>
      <c r="C298" t="s">
        <v>27</v>
      </c>
      <c r="D298" t="s">
        <v>52</v>
      </c>
      <c r="E298" t="s">
        <v>29</v>
      </c>
      <c r="F298">
        <v>36</v>
      </c>
      <c r="G298">
        <v>1243.75</v>
      </c>
      <c r="H298" t="s">
        <v>71</v>
      </c>
      <c r="I298" t="s">
        <v>31</v>
      </c>
      <c r="J298" s="1">
        <v>45645</v>
      </c>
      <c r="K298" s="1">
        <f>DATE(YEAR(subscriptions[[#This Row],[signup_date]]),MONTH(subscriptions[[#This Row],[signup_date]]),1)</f>
        <v>45627</v>
      </c>
      <c r="L298" t="s">
        <v>34</v>
      </c>
      <c r="M298" s="1"/>
      <c r="N298" s="1" t="str">
        <f>IF(subscriptions[[#This Row],[churn_date]]="","",DATE(YEAR(subscriptions[[#This Row],[churn_date]]),MONTH(subscriptions[[#This Row],[churn_date]]),1))</f>
        <v/>
      </c>
      <c r="O298" t="s">
        <v>38</v>
      </c>
      <c r="P298">
        <v>6</v>
      </c>
      <c r="Q298">
        <v>10</v>
      </c>
      <c r="R298">
        <v>82</v>
      </c>
      <c r="S298" t="str">
        <f t="shared" si="4"/>
        <v>Very High Usage</v>
      </c>
      <c r="T298" t="s">
        <v>34</v>
      </c>
    </row>
    <row r="299" spans="1:20" x14ac:dyDescent="0.3">
      <c r="A299" t="s">
        <v>363</v>
      </c>
      <c r="B299" t="s">
        <v>40</v>
      </c>
      <c r="C299" t="s">
        <v>27</v>
      </c>
      <c r="D299" t="s">
        <v>73</v>
      </c>
      <c r="E299" t="s">
        <v>29</v>
      </c>
      <c r="F299">
        <v>70</v>
      </c>
      <c r="G299">
        <v>329.15</v>
      </c>
      <c r="H299" t="s">
        <v>37</v>
      </c>
      <c r="I299" t="s">
        <v>80</v>
      </c>
      <c r="J299" s="1">
        <v>45105</v>
      </c>
      <c r="K299" s="1">
        <f>DATE(YEAR(subscriptions[[#This Row],[signup_date]]),MONTH(subscriptions[[#This Row],[signup_date]]),1)</f>
        <v>45078</v>
      </c>
      <c r="L299" t="s">
        <v>32</v>
      </c>
      <c r="M299" s="1">
        <v>45531</v>
      </c>
      <c r="N299" s="1">
        <f>IF(subscriptions[[#This Row],[churn_date]]="","",DATE(YEAR(subscriptions[[#This Row],[churn_date]]),MONTH(subscriptions[[#This Row],[churn_date]]),1))</f>
        <v>45505</v>
      </c>
      <c r="O299" t="s">
        <v>64</v>
      </c>
      <c r="P299">
        <v>15</v>
      </c>
      <c r="Q299">
        <v>2</v>
      </c>
      <c r="R299">
        <v>11</v>
      </c>
      <c r="S299" t="str">
        <f t="shared" si="4"/>
        <v>Very Low Usage</v>
      </c>
      <c r="T299" t="s">
        <v>34</v>
      </c>
    </row>
    <row r="300" spans="1:20" x14ac:dyDescent="0.3">
      <c r="A300" t="s">
        <v>364</v>
      </c>
      <c r="B300" t="s">
        <v>45</v>
      </c>
      <c r="C300" t="s">
        <v>27</v>
      </c>
      <c r="D300" t="s">
        <v>28</v>
      </c>
      <c r="E300" t="s">
        <v>47</v>
      </c>
      <c r="F300">
        <v>13</v>
      </c>
      <c r="G300">
        <v>557.20000000000005</v>
      </c>
      <c r="H300" t="s">
        <v>30</v>
      </c>
      <c r="I300" t="s">
        <v>31</v>
      </c>
      <c r="J300" s="1">
        <v>44680</v>
      </c>
      <c r="K300" s="1">
        <f>DATE(YEAR(subscriptions[[#This Row],[signup_date]]),MONTH(subscriptions[[#This Row],[signup_date]]),1)</f>
        <v>44652</v>
      </c>
      <c r="L300" t="s">
        <v>32</v>
      </c>
      <c r="M300" s="1">
        <v>44757</v>
      </c>
      <c r="N300" s="1">
        <f>IF(subscriptions[[#This Row],[churn_date]]="","",DATE(YEAR(subscriptions[[#This Row],[churn_date]]),MONTH(subscriptions[[#This Row],[churn_date]]),1))</f>
        <v>44743</v>
      </c>
      <c r="O300" t="s">
        <v>33</v>
      </c>
      <c r="P300">
        <v>6</v>
      </c>
      <c r="Q300">
        <v>6</v>
      </c>
      <c r="R300">
        <v>43</v>
      </c>
      <c r="S300" t="str">
        <f t="shared" si="4"/>
        <v>Moderate Usage</v>
      </c>
      <c r="T300" t="s">
        <v>34</v>
      </c>
    </row>
    <row r="301" spans="1:20" x14ac:dyDescent="0.3">
      <c r="A301" t="s">
        <v>365</v>
      </c>
      <c r="B301" t="s">
        <v>40</v>
      </c>
      <c r="C301" t="s">
        <v>27</v>
      </c>
      <c r="D301" t="s">
        <v>50</v>
      </c>
      <c r="E301" t="s">
        <v>47</v>
      </c>
      <c r="F301">
        <v>23</v>
      </c>
      <c r="G301">
        <v>124.7</v>
      </c>
      <c r="H301" t="s">
        <v>71</v>
      </c>
      <c r="I301" t="s">
        <v>48</v>
      </c>
      <c r="J301" s="1">
        <v>45814</v>
      </c>
      <c r="K301" s="1">
        <f>DATE(YEAR(subscriptions[[#This Row],[signup_date]]),MONTH(subscriptions[[#This Row],[signup_date]]),1)</f>
        <v>45809</v>
      </c>
      <c r="L301" t="s">
        <v>34</v>
      </c>
      <c r="M301" s="1"/>
      <c r="N301" s="1" t="str">
        <f>IF(subscriptions[[#This Row],[churn_date]]="","",DATE(YEAR(subscriptions[[#This Row],[churn_date]]),MONTH(subscriptions[[#This Row],[churn_date]]),1))</f>
        <v/>
      </c>
      <c r="O301" t="s">
        <v>38</v>
      </c>
      <c r="P301">
        <v>11</v>
      </c>
      <c r="Q301">
        <v>10</v>
      </c>
      <c r="R301">
        <v>44</v>
      </c>
      <c r="S301" t="str">
        <f t="shared" si="4"/>
        <v>Moderate Usage</v>
      </c>
      <c r="T301" t="s">
        <v>34</v>
      </c>
    </row>
    <row r="302" spans="1:20" x14ac:dyDescent="0.3">
      <c r="A302" t="s">
        <v>366</v>
      </c>
      <c r="B302" t="s">
        <v>26</v>
      </c>
      <c r="C302" t="s">
        <v>36</v>
      </c>
      <c r="D302" t="s">
        <v>79</v>
      </c>
      <c r="E302" t="s">
        <v>56</v>
      </c>
      <c r="F302">
        <v>108</v>
      </c>
      <c r="G302">
        <v>1144.9100000000001</v>
      </c>
      <c r="H302" t="s">
        <v>30</v>
      </c>
      <c r="I302" t="s">
        <v>31</v>
      </c>
      <c r="J302" s="1">
        <v>45640</v>
      </c>
      <c r="K302" s="1">
        <f>DATE(YEAR(subscriptions[[#This Row],[signup_date]]),MONTH(subscriptions[[#This Row],[signup_date]]),1)</f>
        <v>45627</v>
      </c>
      <c r="L302" t="s">
        <v>34</v>
      </c>
      <c r="M302" s="1"/>
      <c r="N302" s="1" t="str">
        <f>IF(subscriptions[[#This Row],[churn_date]]="","",DATE(YEAR(subscriptions[[#This Row],[churn_date]]),MONTH(subscriptions[[#This Row],[churn_date]]),1))</f>
        <v/>
      </c>
      <c r="O302" t="s">
        <v>38</v>
      </c>
      <c r="P302">
        <v>3</v>
      </c>
      <c r="Q302">
        <v>6</v>
      </c>
      <c r="R302">
        <v>32</v>
      </c>
      <c r="S302" t="str">
        <f t="shared" si="4"/>
        <v>Moderate Usage</v>
      </c>
      <c r="T302" t="s">
        <v>32</v>
      </c>
    </row>
    <row r="303" spans="1:20" x14ac:dyDescent="0.3">
      <c r="A303" t="s">
        <v>367</v>
      </c>
      <c r="B303" t="s">
        <v>45</v>
      </c>
      <c r="C303" t="s">
        <v>36</v>
      </c>
      <c r="D303" t="s">
        <v>41</v>
      </c>
      <c r="E303" t="s">
        <v>47</v>
      </c>
      <c r="F303">
        <v>19</v>
      </c>
      <c r="G303">
        <v>625.86</v>
      </c>
      <c r="H303" t="s">
        <v>71</v>
      </c>
      <c r="I303" t="s">
        <v>31</v>
      </c>
      <c r="J303" s="1">
        <v>45024</v>
      </c>
      <c r="K303" s="1">
        <f>DATE(YEAR(subscriptions[[#This Row],[signup_date]]),MONTH(subscriptions[[#This Row],[signup_date]]),1)</f>
        <v>45017</v>
      </c>
      <c r="L303" t="s">
        <v>34</v>
      </c>
      <c r="M303" s="1"/>
      <c r="N303" s="1" t="str">
        <f>IF(subscriptions[[#This Row],[churn_date]]="","",DATE(YEAR(subscriptions[[#This Row],[churn_date]]),MONTH(subscriptions[[#This Row],[churn_date]]),1))</f>
        <v/>
      </c>
      <c r="O303" t="s">
        <v>38</v>
      </c>
      <c r="P303">
        <v>8</v>
      </c>
      <c r="Q303">
        <v>10</v>
      </c>
      <c r="R303">
        <v>53</v>
      </c>
      <c r="S303" t="str">
        <f t="shared" si="4"/>
        <v>High Usage</v>
      </c>
      <c r="T303" t="s">
        <v>34</v>
      </c>
    </row>
    <row r="304" spans="1:20" x14ac:dyDescent="0.3">
      <c r="A304" t="s">
        <v>368</v>
      </c>
      <c r="B304" t="s">
        <v>45</v>
      </c>
      <c r="C304" t="s">
        <v>36</v>
      </c>
      <c r="D304" t="s">
        <v>90</v>
      </c>
      <c r="E304" t="s">
        <v>47</v>
      </c>
      <c r="F304">
        <v>22</v>
      </c>
      <c r="G304">
        <v>701.97</v>
      </c>
      <c r="H304" t="s">
        <v>109</v>
      </c>
      <c r="I304" t="s">
        <v>80</v>
      </c>
      <c r="J304" s="1">
        <v>44585</v>
      </c>
      <c r="K304" s="1">
        <f>DATE(YEAR(subscriptions[[#This Row],[signup_date]]),MONTH(subscriptions[[#This Row],[signup_date]]),1)</f>
        <v>44562</v>
      </c>
      <c r="L304" t="s">
        <v>32</v>
      </c>
      <c r="M304" s="1">
        <v>45272</v>
      </c>
      <c r="N304" s="1">
        <f>IF(subscriptions[[#This Row],[churn_date]]="","",DATE(YEAR(subscriptions[[#This Row],[churn_date]]),MONTH(subscriptions[[#This Row],[churn_date]]),1))</f>
        <v>45261</v>
      </c>
      <c r="O304" t="s">
        <v>57</v>
      </c>
      <c r="P304">
        <v>1</v>
      </c>
      <c r="Q304">
        <v>5</v>
      </c>
      <c r="R304">
        <v>10</v>
      </c>
      <c r="S304" t="str">
        <f t="shared" si="4"/>
        <v>Very Low Usage</v>
      </c>
      <c r="T304" t="s">
        <v>34</v>
      </c>
    </row>
    <row r="305" spans="1:20" x14ac:dyDescent="0.3">
      <c r="A305" t="s">
        <v>369</v>
      </c>
      <c r="B305" t="s">
        <v>26</v>
      </c>
      <c r="C305" t="s">
        <v>36</v>
      </c>
      <c r="D305" t="s">
        <v>60</v>
      </c>
      <c r="E305" t="s">
        <v>47</v>
      </c>
      <c r="F305">
        <v>29</v>
      </c>
      <c r="G305">
        <v>349.18</v>
      </c>
      <c r="H305" t="s">
        <v>54</v>
      </c>
      <c r="I305" t="s">
        <v>31</v>
      </c>
      <c r="J305" s="1">
        <v>44898</v>
      </c>
      <c r="K305" s="1">
        <f>DATE(YEAR(subscriptions[[#This Row],[signup_date]]),MONTH(subscriptions[[#This Row],[signup_date]]),1)</f>
        <v>44896</v>
      </c>
      <c r="L305" t="s">
        <v>32</v>
      </c>
      <c r="M305" s="1">
        <v>44976</v>
      </c>
      <c r="N305" s="1">
        <f>IF(subscriptions[[#This Row],[churn_date]]="","",DATE(YEAR(subscriptions[[#This Row],[churn_date]]),MONTH(subscriptions[[#This Row],[churn_date]]),1))</f>
        <v>44958</v>
      </c>
      <c r="O305" t="s">
        <v>74</v>
      </c>
      <c r="P305">
        <v>14</v>
      </c>
      <c r="Q305">
        <v>3</v>
      </c>
      <c r="R305">
        <v>32</v>
      </c>
      <c r="S305" t="str">
        <f t="shared" si="4"/>
        <v>Moderate Usage</v>
      </c>
      <c r="T305" t="s">
        <v>34</v>
      </c>
    </row>
    <row r="306" spans="1:20" x14ac:dyDescent="0.3">
      <c r="A306" t="s">
        <v>370</v>
      </c>
      <c r="B306" t="s">
        <v>45</v>
      </c>
      <c r="C306" t="s">
        <v>27</v>
      </c>
      <c r="D306" t="s">
        <v>50</v>
      </c>
      <c r="E306" t="s">
        <v>56</v>
      </c>
      <c r="F306">
        <v>99</v>
      </c>
      <c r="G306">
        <v>3124.3</v>
      </c>
      <c r="H306" t="s">
        <v>43</v>
      </c>
      <c r="I306" t="s">
        <v>31</v>
      </c>
      <c r="J306" s="1">
        <v>45712</v>
      </c>
      <c r="K306" s="1">
        <f>DATE(YEAR(subscriptions[[#This Row],[signup_date]]),MONTH(subscriptions[[#This Row],[signup_date]]),1)</f>
        <v>45689</v>
      </c>
      <c r="L306" t="s">
        <v>34</v>
      </c>
      <c r="M306" s="1"/>
      <c r="N306" s="1" t="str">
        <f>IF(subscriptions[[#This Row],[churn_date]]="","",DATE(YEAR(subscriptions[[#This Row],[churn_date]]),MONTH(subscriptions[[#This Row],[churn_date]]),1))</f>
        <v/>
      </c>
      <c r="O306" t="s">
        <v>38</v>
      </c>
      <c r="P306">
        <v>8</v>
      </c>
      <c r="Q306">
        <v>7</v>
      </c>
      <c r="R306">
        <v>17</v>
      </c>
      <c r="S306" t="str">
        <f t="shared" si="4"/>
        <v>Very Low Usage</v>
      </c>
      <c r="T306" t="s">
        <v>34</v>
      </c>
    </row>
    <row r="307" spans="1:20" x14ac:dyDescent="0.3">
      <c r="A307" t="s">
        <v>371</v>
      </c>
      <c r="B307" t="s">
        <v>45</v>
      </c>
      <c r="C307" t="s">
        <v>27</v>
      </c>
      <c r="D307" t="s">
        <v>79</v>
      </c>
      <c r="E307" t="s">
        <v>47</v>
      </c>
      <c r="F307">
        <v>26</v>
      </c>
      <c r="G307">
        <v>945.25</v>
      </c>
      <c r="H307" t="s">
        <v>30</v>
      </c>
      <c r="I307" t="s">
        <v>48</v>
      </c>
      <c r="J307" s="1">
        <v>45641</v>
      </c>
      <c r="K307" s="1">
        <f>DATE(YEAR(subscriptions[[#This Row],[signup_date]]),MONTH(subscriptions[[#This Row],[signup_date]]),1)</f>
        <v>45627</v>
      </c>
      <c r="L307" t="s">
        <v>34</v>
      </c>
      <c r="M307" s="1"/>
      <c r="N307" s="1" t="str">
        <f>IF(subscriptions[[#This Row],[churn_date]]="","",DATE(YEAR(subscriptions[[#This Row],[churn_date]]),MONTH(subscriptions[[#This Row],[churn_date]]),1))</f>
        <v/>
      </c>
      <c r="O307" t="s">
        <v>38</v>
      </c>
      <c r="P307">
        <v>4</v>
      </c>
      <c r="Q307">
        <v>6</v>
      </c>
      <c r="R307">
        <v>41</v>
      </c>
      <c r="S307" t="str">
        <f t="shared" si="4"/>
        <v>Moderate Usage</v>
      </c>
      <c r="T307" t="s">
        <v>34</v>
      </c>
    </row>
    <row r="308" spans="1:20" x14ac:dyDescent="0.3">
      <c r="A308" t="s">
        <v>372</v>
      </c>
      <c r="B308" t="s">
        <v>82</v>
      </c>
      <c r="C308" t="s">
        <v>36</v>
      </c>
      <c r="D308" t="s">
        <v>50</v>
      </c>
      <c r="E308" t="s">
        <v>29</v>
      </c>
      <c r="F308">
        <v>50</v>
      </c>
      <c r="G308">
        <v>3541.65</v>
      </c>
      <c r="H308" t="s">
        <v>30</v>
      </c>
      <c r="I308" t="s">
        <v>31</v>
      </c>
      <c r="J308" s="1">
        <v>45697</v>
      </c>
      <c r="K308" s="1">
        <f>DATE(YEAR(subscriptions[[#This Row],[signup_date]]),MONTH(subscriptions[[#This Row],[signup_date]]),1)</f>
        <v>45689</v>
      </c>
      <c r="L308" t="s">
        <v>34</v>
      </c>
      <c r="M308" s="1"/>
      <c r="N308" s="1" t="str">
        <f>IF(subscriptions[[#This Row],[churn_date]]="","",DATE(YEAR(subscriptions[[#This Row],[churn_date]]),MONTH(subscriptions[[#This Row],[churn_date]]),1))</f>
        <v/>
      </c>
      <c r="O308" t="s">
        <v>38</v>
      </c>
      <c r="P308">
        <v>9</v>
      </c>
      <c r="Q308">
        <v>9</v>
      </c>
      <c r="R308">
        <v>36</v>
      </c>
      <c r="S308" t="str">
        <f t="shared" si="4"/>
        <v>Moderate Usage</v>
      </c>
      <c r="T308" t="s">
        <v>34</v>
      </c>
    </row>
    <row r="309" spans="1:20" x14ac:dyDescent="0.3">
      <c r="A309" t="s">
        <v>373</v>
      </c>
      <c r="B309" t="s">
        <v>45</v>
      </c>
      <c r="C309" t="s">
        <v>36</v>
      </c>
      <c r="D309" t="s">
        <v>90</v>
      </c>
      <c r="E309" t="s">
        <v>47</v>
      </c>
      <c r="F309">
        <v>21</v>
      </c>
      <c r="G309">
        <v>676.6</v>
      </c>
      <c r="H309" t="s">
        <v>71</v>
      </c>
      <c r="I309" t="s">
        <v>31</v>
      </c>
      <c r="J309" s="1">
        <v>45920</v>
      </c>
      <c r="K309" s="1">
        <f>DATE(YEAR(subscriptions[[#This Row],[signup_date]]),MONTH(subscriptions[[#This Row],[signup_date]]),1)</f>
        <v>45901</v>
      </c>
      <c r="L309" t="s">
        <v>34</v>
      </c>
      <c r="M309" s="1"/>
      <c r="N309" s="1" t="str">
        <f>IF(subscriptions[[#This Row],[churn_date]]="","",DATE(YEAR(subscriptions[[#This Row],[churn_date]]),MONTH(subscriptions[[#This Row],[churn_date]]),1))</f>
        <v/>
      </c>
      <c r="O309" t="s">
        <v>38</v>
      </c>
      <c r="P309">
        <v>0</v>
      </c>
      <c r="Q309">
        <v>8</v>
      </c>
      <c r="R309">
        <v>91</v>
      </c>
      <c r="S309" t="str">
        <f t="shared" si="4"/>
        <v>Very High Usage</v>
      </c>
      <c r="T309" t="s">
        <v>34</v>
      </c>
    </row>
    <row r="310" spans="1:20" x14ac:dyDescent="0.3">
      <c r="A310" t="s">
        <v>374</v>
      </c>
      <c r="B310" t="s">
        <v>40</v>
      </c>
      <c r="C310" t="s">
        <v>36</v>
      </c>
      <c r="D310" t="s">
        <v>50</v>
      </c>
      <c r="E310" t="s">
        <v>53</v>
      </c>
      <c r="F310">
        <v>7</v>
      </c>
      <c r="G310">
        <v>46.83</v>
      </c>
      <c r="H310" t="s">
        <v>71</v>
      </c>
      <c r="I310" t="s">
        <v>31</v>
      </c>
      <c r="J310" s="1">
        <v>45172</v>
      </c>
      <c r="K310" s="1">
        <f>DATE(YEAR(subscriptions[[#This Row],[signup_date]]),MONTH(subscriptions[[#This Row],[signup_date]]),1)</f>
        <v>45170</v>
      </c>
      <c r="L310" t="s">
        <v>32</v>
      </c>
      <c r="M310" s="1">
        <v>45300</v>
      </c>
      <c r="N310" s="1">
        <f>IF(subscriptions[[#This Row],[churn_date]]="","",DATE(YEAR(subscriptions[[#This Row],[churn_date]]),MONTH(subscriptions[[#This Row],[churn_date]]),1))</f>
        <v>45292</v>
      </c>
      <c r="O310" t="s">
        <v>57</v>
      </c>
      <c r="P310">
        <v>5</v>
      </c>
      <c r="Q310">
        <v>2</v>
      </c>
      <c r="R310">
        <v>41</v>
      </c>
      <c r="S310" t="str">
        <f t="shared" si="4"/>
        <v>Moderate Usage</v>
      </c>
      <c r="T310" t="s">
        <v>34</v>
      </c>
    </row>
    <row r="311" spans="1:20" x14ac:dyDescent="0.3">
      <c r="A311" t="s">
        <v>375</v>
      </c>
      <c r="B311" t="s">
        <v>40</v>
      </c>
      <c r="C311" t="s">
        <v>27</v>
      </c>
      <c r="D311" t="s">
        <v>79</v>
      </c>
      <c r="E311" t="s">
        <v>56</v>
      </c>
      <c r="F311">
        <v>71</v>
      </c>
      <c r="G311">
        <v>333.5</v>
      </c>
      <c r="H311" t="s">
        <v>37</v>
      </c>
      <c r="I311" t="s">
        <v>48</v>
      </c>
      <c r="J311" s="1">
        <v>45115</v>
      </c>
      <c r="K311" s="1">
        <f>DATE(YEAR(subscriptions[[#This Row],[signup_date]]),MONTH(subscriptions[[#This Row],[signup_date]]),1)</f>
        <v>45108</v>
      </c>
      <c r="L311" t="s">
        <v>32</v>
      </c>
      <c r="M311" s="1">
        <v>45333</v>
      </c>
      <c r="N311" s="1">
        <f>IF(subscriptions[[#This Row],[churn_date]]="","",DATE(YEAR(subscriptions[[#This Row],[churn_date]]),MONTH(subscriptions[[#This Row],[churn_date]]),1))</f>
        <v>45323</v>
      </c>
      <c r="O311" t="s">
        <v>74</v>
      </c>
      <c r="P311">
        <v>1</v>
      </c>
      <c r="Q311">
        <v>3</v>
      </c>
      <c r="R311">
        <v>14</v>
      </c>
      <c r="S311" t="str">
        <f t="shared" si="4"/>
        <v>Very Low Usage</v>
      </c>
      <c r="T311" t="s">
        <v>34</v>
      </c>
    </row>
    <row r="312" spans="1:20" x14ac:dyDescent="0.3">
      <c r="A312" t="s">
        <v>376</v>
      </c>
      <c r="B312" t="s">
        <v>26</v>
      </c>
      <c r="C312" t="s">
        <v>36</v>
      </c>
      <c r="D312" t="s">
        <v>41</v>
      </c>
      <c r="E312" t="s">
        <v>42</v>
      </c>
      <c r="F312">
        <v>290</v>
      </c>
      <c r="G312">
        <v>2978.1</v>
      </c>
      <c r="H312" t="s">
        <v>54</v>
      </c>
      <c r="I312" t="s">
        <v>31</v>
      </c>
      <c r="J312" s="1">
        <v>45337</v>
      </c>
      <c r="K312" s="1">
        <f>DATE(YEAR(subscriptions[[#This Row],[signup_date]]),MONTH(subscriptions[[#This Row],[signup_date]]),1)</f>
        <v>45323</v>
      </c>
      <c r="L312" t="s">
        <v>34</v>
      </c>
      <c r="M312" s="1"/>
      <c r="N312" s="1" t="str">
        <f>IF(subscriptions[[#This Row],[churn_date]]="","",DATE(YEAR(subscriptions[[#This Row],[churn_date]]),MONTH(subscriptions[[#This Row],[churn_date]]),1))</f>
        <v/>
      </c>
      <c r="O312" t="s">
        <v>38</v>
      </c>
      <c r="P312">
        <v>9</v>
      </c>
      <c r="Q312">
        <v>9</v>
      </c>
      <c r="R312">
        <v>39</v>
      </c>
      <c r="S312" t="str">
        <f t="shared" si="4"/>
        <v>Moderate Usage</v>
      </c>
      <c r="T312" t="s">
        <v>34</v>
      </c>
    </row>
    <row r="313" spans="1:20" x14ac:dyDescent="0.3">
      <c r="A313" t="s">
        <v>377</v>
      </c>
      <c r="B313" t="s">
        <v>40</v>
      </c>
      <c r="C313" t="s">
        <v>36</v>
      </c>
      <c r="D313" t="s">
        <v>46</v>
      </c>
      <c r="E313" t="s">
        <v>56</v>
      </c>
      <c r="F313">
        <v>36</v>
      </c>
      <c r="G313">
        <v>154.06</v>
      </c>
      <c r="H313" t="s">
        <v>43</v>
      </c>
      <c r="I313" t="s">
        <v>66</v>
      </c>
      <c r="J313" s="1">
        <v>45357</v>
      </c>
      <c r="K313" s="1">
        <f>DATE(YEAR(subscriptions[[#This Row],[signup_date]]),MONTH(subscriptions[[#This Row],[signup_date]]),1)</f>
        <v>45352</v>
      </c>
      <c r="L313" t="s">
        <v>32</v>
      </c>
      <c r="M313" s="1">
        <v>45536</v>
      </c>
      <c r="N313" s="1">
        <f>IF(subscriptions[[#This Row],[churn_date]]="","",DATE(YEAR(subscriptions[[#This Row],[churn_date]]),MONTH(subscriptions[[#This Row],[churn_date]]),1))</f>
        <v>45536</v>
      </c>
      <c r="O313" t="s">
        <v>61</v>
      </c>
      <c r="P313">
        <v>4</v>
      </c>
      <c r="Q313">
        <v>5</v>
      </c>
      <c r="R313">
        <v>42</v>
      </c>
      <c r="S313" t="str">
        <f t="shared" si="4"/>
        <v>Moderate Usage</v>
      </c>
      <c r="T313" t="s">
        <v>34</v>
      </c>
    </row>
    <row r="314" spans="1:20" x14ac:dyDescent="0.3">
      <c r="A314" t="s">
        <v>378</v>
      </c>
      <c r="B314" t="s">
        <v>40</v>
      </c>
      <c r="C314" t="s">
        <v>27</v>
      </c>
      <c r="D314" t="s">
        <v>73</v>
      </c>
      <c r="E314" t="s">
        <v>29</v>
      </c>
      <c r="F314">
        <v>74</v>
      </c>
      <c r="G314">
        <v>346.55</v>
      </c>
      <c r="H314" t="s">
        <v>30</v>
      </c>
      <c r="I314" t="s">
        <v>48</v>
      </c>
      <c r="J314" s="1">
        <v>45679</v>
      </c>
      <c r="K314" s="1">
        <f>DATE(YEAR(subscriptions[[#This Row],[signup_date]]),MONTH(subscriptions[[#This Row],[signup_date]]),1)</f>
        <v>45658</v>
      </c>
      <c r="L314" t="s">
        <v>34</v>
      </c>
      <c r="M314" s="1"/>
      <c r="N314" s="1" t="str">
        <f>IF(subscriptions[[#This Row],[churn_date]]="","",DATE(YEAR(subscriptions[[#This Row],[churn_date]]),MONTH(subscriptions[[#This Row],[churn_date]]),1))</f>
        <v/>
      </c>
      <c r="O314" t="s">
        <v>38</v>
      </c>
      <c r="P314">
        <v>3</v>
      </c>
      <c r="Q314">
        <v>4</v>
      </c>
      <c r="R314">
        <v>18</v>
      </c>
      <c r="S314" t="str">
        <f t="shared" si="4"/>
        <v>Very Low Usage</v>
      </c>
      <c r="T314" t="s">
        <v>34</v>
      </c>
    </row>
    <row r="315" spans="1:20" x14ac:dyDescent="0.3">
      <c r="A315" t="s">
        <v>379</v>
      </c>
      <c r="B315" t="s">
        <v>40</v>
      </c>
      <c r="C315" t="s">
        <v>36</v>
      </c>
      <c r="D315" t="s">
        <v>60</v>
      </c>
      <c r="E315" t="s">
        <v>53</v>
      </c>
      <c r="F315">
        <v>8</v>
      </c>
      <c r="G315">
        <v>50.53</v>
      </c>
      <c r="H315" t="s">
        <v>54</v>
      </c>
      <c r="I315" t="s">
        <v>80</v>
      </c>
      <c r="J315" s="1">
        <v>45572</v>
      </c>
      <c r="K315" s="1">
        <f>DATE(YEAR(subscriptions[[#This Row],[signup_date]]),MONTH(subscriptions[[#This Row],[signup_date]]),1)</f>
        <v>45566</v>
      </c>
      <c r="L315" t="s">
        <v>34</v>
      </c>
      <c r="M315" s="1"/>
      <c r="N315" s="1" t="str">
        <f>IF(subscriptions[[#This Row],[churn_date]]="","",DATE(YEAR(subscriptions[[#This Row],[churn_date]]),MONTH(subscriptions[[#This Row],[churn_date]]),1))</f>
        <v/>
      </c>
      <c r="O315" t="s">
        <v>38</v>
      </c>
      <c r="P315">
        <v>3</v>
      </c>
      <c r="Q315">
        <v>2</v>
      </c>
      <c r="R315">
        <v>22</v>
      </c>
      <c r="S315" t="str">
        <f t="shared" si="4"/>
        <v>Moderate Usage</v>
      </c>
      <c r="T315" t="s">
        <v>34</v>
      </c>
    </row>
    <row r="316" spans="1:20" x14ac:dyDescent="0.3">
      <c r="A316" t="s">
        <v>380</v>
      </c>
      <c r="B316" t="s">
        <v>40</v>
      </c>
      <c r="C316" t="s">
        <v>27</v>
      </c>
      <c r="D316" t="s">
        <v>73</v>
      </c>
      <c r="E316" t="s">
        <v>47</v>
      </c>
      <c r="F316">
        <v>13</v>
      </c>
      <c r="G316">
        <v>81.2</v>
      </c>
      <c r="H316" t="s">
        <v>71</v>
      </c>
      <c r="I316" t="s">
        <v>48</v>
      </c>
      <c r="J316" s="1">
        <v>45739</v>
      </c>
      <c r="K316" s="1">
        <f>DATE(YEAR(subscriptions[[#This Row],[signup_date]]),MONTH(subscriptions[[#This Row],[signup_date]]),1)</f>
        <v>45717</v>
      </c>
      <c r="L316" t="s">
        <v>32</v>
      </c>
      <c r="M316" s="1">
        <v>45920</v>
      </c>
      <c r="N316" s="1">
        <f>IF(subscriptions[[#This Row],[churn_date]]="","",DATE(YEAR(subscriptions[[#This Row],[churn_date]]),MONTH(subscriptions[[#This Row],[churn_date]]),1))</f>
        <v>45901</v>
      </c>
      <c r="O316" t="s">
        <v>67</v>
      </c>
      <c r="P316">
        <v>12</v>
      </c>
      <c r="Q316">
        <v>3</v>
      </c>
      <c r="R316">
        <v>29</v>
      </c>
      <c r="S316" t="str">
        <f t="shared" si="4"/>
        <v>Moderate Usage</v>
      </c>
      <c r="T316" t="s">
        <v>34</v>
      </c>
    </row>
    <row r="317" spans="1:20" x14ac:dyDescent="0.3">
      <c r="A317" t="s">
        <v>381</v>
      </c>
      <c r="B317" t="s">
        <v>26</v>
      </c>
      <c r="C317" t="s">
        <v>36</v>
      </c>
      <c r="D317" t="s">
        <v>41</v>
      </c>
      <c r="E317" t="s">
        <v>47</v>
      </c>
      <c r="F317">
        <v>33</v>
      </c>
      <c r="G317">
        <v>389.47</v>
      </c>
      <c r="H317" t="s">
        <v>43</v>
      </c>
      <c r="I317" t="s">
        <v>80</v>
      </c>
      <c r="J317" s="1">
        <v>44835</v>
      </c>
      <c r="K317" s="1">
        <f>DATE(YEAR(subscriptions[[#This Row],[signup_date]]),MONTH(subscriptions[[#This Row],[signup_date]]),1)</f>
        <v>44835</v>
      </c>
      <c r="L317" t="s">
        <v>32</v>
      </c>
      <c r="M317" s="1">
        <v>45906</v>
      </c>
      <c r="N317" s="1">
        <f>IF(subscriptions[[#This Row],[churn_date]]="","",DATE(YEAR(subscriptions[[#This Row],[churn_date]]),MONTH(subscriptions[[#This Row],[churn_date]]),1))</f>
        <v>45901</v>
      </c>
      <c r="O317" t="s">
        <v>57</v>
      </c>
      <c r="P317">
        <v>11</v>
      </c>
      <c r="Q317">
        <v>6</v>
      </c>
      <c r="R317">
        <v>37</v>
      </c>
      <c r="S317" t="str">
        <f t="shared" si="4"/>
        <v>Moderate Usage</v>
      </c>
      <c r="T317" t="s">
        <v>34</v>
      </c>
    </row>
    <row r="318" spans="1:20" x14ac:dyDescent="0.3">
      <c r="A318" t="s">
        <v>382</v>
      </c>
      <c r="B318" t="s">
        <v>40</v>
      </c>
      <c r="C318" t="s">
        <v>27</v>
      </c>
      <c r="D318" t="s">
        <v>41</v>
      </c>
      <c r="E318" t="s">
        <v>47</v>
      </c>
      <c r="F318">
        <v>31</v>
      </c>
      <c r="G318">
        <v>159.5</v>
      </c>
      <c r="H318" t="s">
        <v>43</v>
      </c>
      <c r="I318" t="s">
        <v>31</v>
      </c>
      <c r="J318" s="1">
        <v>45635</v>
      </c>
      <c r="K318" s="1">
        <f>DATE(YEAR(subscriptions[[#This Row],[signup_date]]),MONTH(subscriptions[[#This Row],[signup_date]]),1)</f>
        <v>45627</v>
      </c>
      <c r="L318" t="s">
        <v>32</v>
      </c>
      <c r="M318" s="1">
        <v>45758</v>
      </c>
      <c r="N318" s="1">
        <f>IF(subscriptions[[#This Row],[churn_date]]="","",DATE(YEAR(subscriptions[[#This Row],[churn_date]]),MONTH(subscriptions[[#This Row],[churn_date]]),1))</f>
        <v>45748</v>
      </c>
      <c r="O318" t="s">
        <v>33</v>
      </c>
      <c r="P318">
        <v>6</v>
      </c>
      <c r="Q318">
        <v>3</v>
      </c>
      <c r="R318">
        <v>26</v>
      </c>
      <c r="S318" t="str">
        <f t="shared" si="4"/>
        <v>Moderate Usage</v>
      </c>
      <c r="T318" t="s">
        <v>34</v>
      </c>
    </row>
    <row r="319" spans="1:20" x14ac:dyDescent="0.3">
      <c r="A319" t="s">
        <v>383</v>
      </c>
      <c r="B319" t="s">
        <v>40</v>
      </c>
      <c r="C319" t="s">
        <v>27</v>
      </c>
      <c r="D319" t="s">
        <v>28</v>
      </c>
      <c r="E319" t="s">
        <v>53</v>
      </c>
      <c r="F319">
        <v>1</v>
      </c>
      <c r="G319">
        <v>29</v>
      </c>
      <c r="H319" t="s">
        <v>109</v>
      </c>
      <c r="I319" t="s">
        <v>80</v>
      </c>
      <c r="J319" s="1">
        <v>45694</v>
      </c>
      <c r="K319" s="1">
        <f>DATE(YEAR(subscriptions[[#This Row],[signup_date]]),MONTH(subscriptions[[#This Row],[signup_date]]),1)</f>
        <v>45689</v>
      </c>
      <c r="L319" t="s">
        <v>32</v>
      </c>
      <c r="M319" s="1">
        <v>45956</v>
      </c>
      <c r="N319" s="1">
        <f>IF(subscriptions[[#This Row],[churn_date]]="","",DATE(YEAR(subscriptions[[#This Row],[churn_date]]),MONTH(subscriptions[[#This Row],[churn_date]]),1))</f>
        <v>45931</v>
      </c>
      <c r="O319" t="s">
        <v>67</v>
      </c>
      <c r="P319">
        <v>12</v>
      </c>
      <c r="Q319">
        <v>3</v>
      </c>
      <c r="R319">
        <v>30</v>
      </c>
      <c r="S319" t="str">
        <f t="shared" si="4"/>
        <v>Moderate Usage</v>
      </c>
      <c r="T319" t="s">
        <v>34</v>
      </c>
    </row>
    <row r="320" spans="1:20" x14ac:dyDescent="0.3">
      <c r="A320" t="s">
        <v>384</v>
      </c>
      <c r="B320" t="s">
        <v>40</v>
      </c>
      <c r="C320" t="s">
        <v>36</v>
      </c>
      <c r="D320" t="s">
        <v>79</v>
      </c>
      <c r="E320" t="s">
        <v>29</v>
      </c>
      <c r="F320">
        <v>40</v>
      </c>
      <c r="G320">
        <v>168.85</v>
      </c>
      <c r="H320" t="s">
        <v>30</v>
      </c>
      <c r="I320" t="s">
        <v>48</v>
      </c>
      <c r="J320" s="1">
        <v>44758</v>
      </c>
      <c r="K320" s="1">
        <f>DATE(YEAR(subscriptions[[#This Row],[signup_date]]),MONTH(subscriptions[[#This Row],[signup_date]]),1)</f>
        <v>44743</v>
      </c>
      <c r="L320" t="s">
        <v>32</v>
      </c>
      <c r="M320" s="1">
        <v>44847</v>
      </c>
      <c r="N320" s="1">
        <f>IF(subscriptions[[#This Row],[churn_date]]="","",DATE(YEAR(subscriptions[[#This Row],[churn_date]]),MONTH(subscriptions[[#This Row],[churn_date]]),1))</f>
        <v>44835</v>
      </c>
      <c r="O320" t="s">
        <v>61</v>
      </c>
      <c r="P320">
        <v>14</v>
      </c>
      <c r="Q320">
        <v>4</v>
      </c>
      <c r="R320">
        <v>38</v>
      </c>
      <c r="S320" t="str">
        <f t="shared" si="4"/>
        <v>Moderate Usage</v>
      </c>
      <c r="T320" t="s">
        <v>34</v>
      </c>
    </row>
    <row r="321" spans="1:20" x14ac:dyDescent="0.3">
      <c r="A321" t="s">
        <v>385</v>
      </c>
      <c r="B321" t="s">
        <v>26</v>
      </c>
      <c r="C321" t="s">
        <v>36</v>
      </c>
      <c r="D321" t="s">
        <v>79</v>
      </c>
      <c r="E321" t="s">
        <v>29</v>
      </c>
      <c r="F321">
        <v>20</v>
      </c>
      <c r="G321">
        <v>258.52999999999997</v>
      </c>
      <c r="H321" t="s">
        <v>30</v>
      </c>
      <c r="I321" t="s">
        <v>48</v>
      </c>
      <c r="J321" s="1">
        <v>45279</v>
      </c>
      <c r="K321" s="1">
        <f>DATE(YEAR(subscriptions[[#This Row],[signup_date]]),MONTH(subscriptions[[#This Row],[signup_date]]),1)</f>
        <v>45261</v>
      </c>
      <c r="L321" t="s">
        <v>34</v>
      </c>
      <c r="M321" s="1"/>
      <c r="N321" s="1" t="str">
        <f>IF(subscriptions[[#This Row],[churn_date]]="","",DATE(YEAR(subscriptions[[#This Row],[churn_date]]),MONTH(subscriptions[[#This Row],[churn_date]]),1))</f>
        <v/>
      </c>
      <c r="O321" t="s">
        <v>38</v>
      </c>
      <c r="P321">
        <v>10</v>
      </c>
      <c r="Q321">
        <v>9</v>
      </c>
      <c r="R321">
        <v>34</v>
      </c>
      <c r="S321" t="str">
        <f t="shared" si="4"/>
        <v>Moderate Usage</v>
      </c>
      <c r="T321" t="s">
        <v>34</v>
      </c>
    </row>
    <row r="322" spans="1:20" x14ac:dyDescent="0.3">
      <c r="A322" t="s">
        <v>386</v>
      </c>
      <c r="B322" t="s">
        <v>26</v>
      </c>
      <c r="C322" t="s">
        <v>27</v>
      </c>
      <c r="D322" t="s">
        <v>73</v>
      </c>
      <c r="E322" t="s">
        <v>53</v>
      </c>
      <c r="F322">
        <v>2</v>
      </c>
      <c r="G322">
        <v>90.85</v>
      </c>
      <c r="H322" t="s">
        <v>30</v>
      </c>
      <c r="I322" t="s">
        <v>31</v>
      </c>
      <c r="J322" s="1">
        <v>45727</v>
      </c>
      <c r="K322" s="1">
        <f>DATE(YEAR(subscriptions[[#This Row],[signup_date]]),MONTH(subscriptions[[#This Row],[signup_date]]),1)</f>
        <v>45717</v>
      </c>
      <c r="L322" t="s">
        <v>32</v>
      </c>
      <c r="M322" s="1">
        <v>45777</v>
      </c>
      <c r="N322" s="1">
        <f>IF(subscriptions[[#This Row],[churn_date]]="","",DATE(YEAR(subscriptions[[#This Row],[churn_date]]),MONTH(subscriptions[[#This Row],[churn_date]]),1))</f>
        <v>45748</v>
      </c>
      <c r="O322" t="s">
        <v>67</v>
      </c>
      <c r="P322">
        <v>8</v>
      </c>
      <c r="Q322">
        <v>3</v>
      </c>
      <c r="R322">
        <v>15</v>
      </c>
      <c r="S322" t="str">
        <f t="shared" ref="S322:S385" si="5">IF(R322&lt;=20,"Very Low Usage",
IF(R322&lt;=50,"Moderate Usage",
IF(R322&lt;=80,"High Usage",
"Very High Usage")))</f>
        <v>Very Low Usage</v>
      </c>
      <c r="T322" t="s">
        <v>34</v>
      </c>
    </row>
    <row r="323" spans="1:20" x14ac:dyDescent="0.3">
      <c r="A323" t="s">
        <v>387</v>
      </c>
      <c r="B323" t="s">
        <v>26</v>
      </c>
      <c r="C323" t="s">
        <v>36</v>
      </c>
      <c r="D323" t="s">
        <v>90</v>
      </c>
      <c r="E323" t="s">
        <v>29</v>
      </c>
      <c r="F323">
        <v>34</v>
      </c>
      <c r="G323">
        <v>399.54</v>
      </c>
      <c r="H323" t="s">
        <v>109</v>
      </c>
      <c r="I323" t="s">
        <v>31</v>
      </c>
      <c r="J323" s="1">
        <v>45579</v>
      </c>
      <c r="K323" s="1">
        <f>DATE(YEAR(subscriptions[[#This Row],[signup_date]]),MONTH(subscriptions[[#This Row],[signup_date]]),1)</f>
        <v>45566</v>
      </c>
      <c r="L323" t="s">
        <v>32</v>
      </c>
      <c r="M323" s="1">
        <v>45637</v>
      </c>
      <c r="N323" s="1">
        <f>IF(subscriptions[[#This Row],[churn_date]]="","",DATE(YEAR(subscriptions[[#This Row],[churn_date]]),MONTH(subscriptions[[#This Row],[churn_date]]),1))</f>
        <v>45627</v>
      </c>
      <c r="O323" t="s">
        <v>93</v>
      </c>
      <c r="P323">
        <v>11</v>
      </c>
      <c r="Q323">
        <v>6</v>
      </c>
      <c r="R323">
        <v>12</v>
      </c>
      <c r="S323" t="str">
        <f t="shared" si="5"/>
        <v>Very Low Usage</v>
      </c>
      <c r="T323" t="s">
        <v>34</v>
      </c>
    </row>
    <row r="324" spans="1:20" x14ac:dyDescent="0.3">
      <c r="A324" t="s">
        <v>388</v>
      </c>
      <c r="B324" t="s">
        <v>45</v>
      </c>
      <c r="C324" t="s">
        <v>27</v>
      </c>
      <c r="D324" t="s">
        <v>60</v>
      </c>
      <c r="E324" t="s">
        <v>53</v>
      </c>
      <c r="F324">
        <v>7</v>
      </c>
      <c r="G324">
        <v>378.1</v>
      </c>
      <c r="H324" t="s">
        <v>43</v>
      </c>
      <c r="I324" t="s">
        <v>66</v>
      </c>
      <c r="J324" s="1">
        <v>45217</v>
      </c>
      <c r="K324" s="1">
        <f>DATE(YEAR(subscriptions[[#This Row],[signup_date]]),MONTH(subscriptions[[#This Row],[signup_date]]),1)</f>
        <v>45200</v>
      </c>
      <c r="L324" t="s">
        <v>34</v>
      </c>
      <c r="M324" s="1"/>
      <c r="N324" s="1" t="str">
        <f>IF(subscriptions[[#This Row],[churn_date]]="","",DATE(YEAR(subscriptions[[#This Row],[churn_date]]),MONTH(subscriptions[[#This Row],[churn_date]]),1))</f>
        <v/>
      </c>
      <c r="O324" t="s">
        <v>38</v>
      </c>
      <c r="P324">
        <v>5</v>
      </c>
      <c r="Q324">
        <v>9</v>
      </c>
      <c r="R324">
        <v>55</v>
      </c>
      <c r="S324" t="str">
        <f t="shared" si="5"/>
        <v>High Usage</v>
      </c>
      <c r="T324" t="s">
        <v>34</v>
      </c>
    </row>
    <row r="325" spans="1:20" x14ac:dyDescent="0.3">
      <c r="A325" t="s">
        <v>389</v>
      </c>
      <c r="B325" t="s">
        <v>40</v>
      </c>
      <c r="C325" t="s">
        <v>36</v>
      </c>
      <c r="D325" t="s">
        <v>90</v>
      </c>
      <c r="E325" t="s">
        <v>29</v>
      </c>
      <c r="F325">
        <v>24</v>
      </c>
      <c r="G325">
        <v>109.69</v>
      </c>
      <c r="H325" t="s">
        <v>30</v>
      </c>
      <c r="I325" t="s">
        <v>31</v>
      </c>
      <c r="J325" s="1">
        <v>45973</v>
      </c>
      <c r="K325" s="1">
        <f>DATE(YEAR(subscriptions[[#This Row],[signup_date]]),MONTH(subscriptions[[#This Row],[signup_date]]),1)</f>
        <v>45962</v>
      </c>
      <c r="L325" t="s">
        <v>34</v>
      </c>
      <c r="M325" s="1"/>
      <c r="N325" s="1" t="str">
        <f>IF(subscriptions[[#This Row],[churn_date]]="","",DATE(YEAR(subscriptions[[#This Row],[churn_date]]),MONTH(subscriptions[[#This Row],[churn_date]]),1))</f>
        <v/>
      </c>
      <c r="O325" t="s">
        <v>38</v>
      </c>
      <c r="P325">
        <v>7</v>
      </c>
      <c r="Q325">
        <v>2</v>
      </c>
      <c r="R325">
        <v>90</v>
      </c>
      <c r="S325" t="str">
        <f t="shared" si="5"/>
        <v>Very High Usage</v>
      </c>
      <c r="T325" t="s">
        <v>34</v>
      </c>
    </row>
    <row r="326" spans="1:20" x14ac:dyDescent="0.3">
      <c r="A326" t="s">
        <v>390</v>
      </c>
      <c r="B326" t="s">
        <v>26</v>
      </c>
      <c r="C326" t="s">
        <v>36</v>
      </c>
      <c r="D326" t="s">
        <v>52</v>
      </c>
      <c r="E326" t="s">
        <v>56</v>
      </c>
      <c r="F326">
        <v>105</v>
      </c>
      <c r="G326">
        <v>1114.69</v>
      </c>
      <c r="H326" t="s">
        <v>71</v>
      </c>
      <c r="I326" t="s">
        <v>48</v>
      </c>
      <c r="J326" s="1">
        <v>44648</v>
      </c>
      <c r="K326" s="1">
        <f>DATE(YEAR(subscriptions[[#This Row],[signup_date]]),MONTH(subscriptions[[#This Row],[signup_date]]),1)</f>
        <v>44621</v>
      </c>
      <c r="L326" t="s">
        <v>32</v>
      </c>
      <c r="M326" s="1">
        <v>45194</v>
      </c>
      <c r="N326" s="1">
        <f>IF(subscriptions[[#This Row],[churn_date]]="","",DATE(YEAR(subscriptions[[#This Row],[churn_date]]),MONTH(subscriptions[[#This Row],[churn_date]]),1))</f>
        <v>45170</v>
      </c>
      <c r="O326" t="s">
        <v>64</v>
      </c>
      <c r="P326">
        <v>2</v>
      </c>
      <c r="Q326">
        <v>1</v>
      </c>
      <c r="R326">
        <v>15</v>
      </c>
      <c r="S326" t="str">
        <f t="shared" si="5"/>
        <v>Very Low Usage</v>
      </c>
      <c r="T326" t="s">
        <v>34</v>
      </c>
    </row>
    <row r="327" spans="1:20" x14ac:dyDescent="0.3">
      <c r="A327" t="s">
        <v>391</v>
      </c>
      <c r="B327" t="s">
        <v>45</v>
      </c>
      <c r="C327" t="s">
        <v>36</v>
      </c>
      <c r="D327" t="s">
        <v>73</v>
      </c>
      <c r="E327" t="s">
        <v>47</v>
      </c>
      <c r="F327">
        <v>10</v>
      </c>
      <c r="G327">
        <v>397.5</v>
      </c>
      <c r="H327" t="s">
        <v>43</v>
      </c>
      <c r="I327" t="s">
        <v>31</v>
      </c>
      <c r="J327" s="1">
        <v>45676</v>
      </c>
      <c r="K327" s="1">
        <f>DATE(YEAR(subscriptions[[#This Row],[signup_date]]),MONTH(subscriptions[[#This Row],[signup_date]]),1)</f>
        <v>45658</v>
      </c>
      <c r="L327" t="s">
        <v>34</v>
      </c>
      <c r="M327" s="1"/>
      <c r="N327" s="1" t="str">
        <f>IF(subscriptions[[#This Row],[churn_date]]="","",DATE(YEAR(subscriptions[[#This Row],[churn_date]]),MONTH(subscriptions[[#This Row],[churn_date]]),1))</f>
        <v/>
      </c>
      <c r="O327" t="s">
        <v>38</v>
      </c>
      <c r="P327">
        <v>6</v>
      </c>
      <c r="Q327">
        <v>9</v>
      </c>
      <c r="R327">
        <v>77</v>
      </c>
      <c r="S327" t="str">
        <f t="shared" si="5"/>
        <v>High Usage</v>
      </c>
      <c r="T327" t="s">
        <v>32</v>
      </c>
    </row>
    <row r="328" spans="1:20" x14ac:dyDescent="0.3">
      <c r="A328" t="s">
        <v>392</v>
      </c>
      <c r="B328" t="s">
        <v>26</v>
      </c>
      <c r="C328" t="s">
        <v>27</v>
      </c>
      <c r="D328" t="s">
        <v>90</v>
      </c>
      <c r="E328" t="s">
        <v>47</v>
      </c>
      <c r="F328">
        <v>15</v>
      </c>
      <c r="G328">
        <v>244.9</v>
      </c>
      <c r="H328" t="s">
        <v>43</v>
      </c>
      <c r="I328" t="s">
        <v>66</v>
      </c>
      <c r="J328" s="1">
        <v>44685</v>
      </c>
      <c r="K328" s="1">
        <f>DATE(YEAR(subscriptions[[#This Row],[signup_date]]),MONTH(subscriptions[[#This Row],[signup_date]]),1)</f>
        <v>44682</v>
      </c>
      <c r="L328" t="s">
        <v>32</v>
      </c>
      <c r="M328" s="1">
        <v>44737</v>
      </c>
      <c r="N328" s="1">
        <f>IF(subscriptions[[#This Row],[churn_date]]="","",DATE(YEAR(subscriptions[[#This Row],[churn_date]]),MONTH(subscriptions[[#This Row],[churn_date]]),1))</f>
        <v>44713</v>
      </c>
      <c r="O328" t="s">
        <v>67</v>
      </c>
      <c r="P328">
        <v>14</v>
      </c>
      <c r="Q328">
        <v>1</v>
      </c>
      <c r="R328">
        <v>15</v>
      </c>
      <c r="S328" t="str">
        <f t="shared" si="5"/>
        <v>Very Low Usage</v>
      </c>
      <c r="T328" t="s">
        <v>34</v>
      </c>
    </row>
    <row r="329" spans="1:20" x14ac:dyDescent="0.3">
      <c r="A329" t="s">
        <v>393</v>
      </c>
      <c r="B329" t="s">
        <v>26</v>
      </c>
      <c r="C329" t="s">
        <v>27</v>
      </c>
      <c r="D329" t="s">
        <v>52</v>
      </c>
      <c r="E329" t="s">
        <v>47</v>
      </c>
      <c r="F329">
        <v>13</v>
      </c>
      <c r="G329">
        <v>221.2</v>
      </c>
      <c r="H329" t="s">
        <v>71</v>
      </c>
      <c r="I329" t="s">
        <v>48</v>
      </c>
      <c r="J329" s="1">
        <v>45534</v>
      </c>
      <c r="K329" s="1">
        <f>DATE(YEAR(subscriptions[[#This Row],[signup_date]]),MONTH(subscriptions[[#This Row],[signup_date]]),1)</f>
        <v>45505</v>
      </c>
      <c r="L329" t="s">
        <v>34</v>
      </c>
      <c r="M329" s="1"/>
      <c r="N329" s="1" t="str">
        <f>IF(subscriptions[[#This Row],[churn_date]]="","",DATE(YEAR(subscriptions[[#This Row],[churn_date]]),MONTH(subscriptions[[#This Row],[churn_date]]),1))</f>
        <v/>
      </c>
      <c r="O329" t="s">
        <v>38</v>
      </c>
      <c r="P329">
        <v>2</v>
      </c>
      <c r="Q329">
        <v>4</v>
      </c>
      <c r="R329">
        <v>71</v>
      </c>
      <c r="S329" t="str">
        <f t="shared" si="5"/>
        <v>High Usage</v>
      </c>
      <c r="T329" t="s">
        <v>34</v>
      </c>
    </row>
    <row r="330" spans="1:20" x14ac:dyDescent="0.3">
      <c r="A330" t="s">
        <v>394</v>
      </c>
      <c r="B330" t="s">
        <v>40</v>
      </c>
      <c r="C330" t="s">
        <v>27</v>
      </c>
      <c r="D330" t="s">
        <v>79</v>
      </c>
      <c r="E330" t="s">
        <v>42</v>
      </c>
      <c r="F330">
        <v>297</v>
      </c>
      <c r="G330">
        <v>1316.6</v>
      </c>
      <c r="H330" t="s">
        <v>43</v>
      </c>
      <c r="I330" t="s">
        <v>80</v>
      </c>
      <c r="J330" s="1">
        <v>46002</v>
      </c>
      <c r="K330" s="1">
        <f>DATE(YEAR(subscriptions[[#This Row],[signup_date]]),MONTH(subscriptions[[#This Row],[signup_date]]),1)</f>
        <v>45992</v>
      </c>
      <c r="L330" t="s">
        <v>34</v>
      </c>
      <c r="M330" s="1"/>
      <c r="N330" s="1" t="str">
        <f>IF(subscriptions[[#This Row],[churn_date]]="","",DATE(YEAR(subscriptions[[#This Row],[churn_date]]),MONTH(subscriptions[[#This Row],[churn_date]]),1))</f>
        <v/>
      </c>
      <c r="O330" t="s">
        <v>38</v>
      </c>
      <c r="P330">
        <v>7</v>
      </c>
      <c r="Q330">
        <v>4</v>
      </c>
      <c r="R330">
        <v>44</v>
      </c>
      <c r="S330" t="str">
        <f t="shared" si="5"/>
        <v>Moderate Usage</v>
      </c>
      <c r="T330" t="s">
        <v>34</v>
      </c>
    </row>
    <row r="331" spans="1:20" x14ac:dyDescent="0.3">
      <c r="A331" t="s">
        <v>395</v>
      </c>
      <c r="B331" t="s">
        <v>26</v>
      </c>
      <c r="C331" t="s">
        <v>27</v>
      </c>
      <c r="D331" t="s">
        <v>28</v>
      </c>
      <c r="E331" t="s">
        <v>29</v>
      </c>
      <c r="F331">
        <v>51</v>
      </c>
      <c r="G331">
        <v>671.5</v>
      </c>
      <c r="H331" t="s">
        <v>37</v>
      </c>
      <c r="I331" t="s">
        <v>66</v>
      </c>
      <c r="J331" s="1">
        <v>45368</v>
      </c>
      <c r="K331" s="1">
        <f>DATE(YEAR(subscriptions[[#This Row],[signup_date]]),MONTH(subscriptions[[#This Row],[signup_date]]),1)</f>
        <v>45352</v>
      </c>
      <c r="L331" t="s">
        <v>34</v>
      </c>
      <c r="M331" s="1"/>
      <c r="N331" s="1" t="str">
        <f>IF(subscriptions[[#This Row],[churn_date]]="","",DATE(YEAR(subscriptions[[#This Row],[churn_date]]),MONTH(subscriptions[[#This Row],[churn_date]]),1))</f>
        <v/>
      </c>
      <c r="O331" t="s">
        <v>38</v>
      </c>
      <c r="P331">
        <v>7</v>
      </c>
      <c r="Q331">
        <v>4</v>
      </c>
      <c r="R331">
        <v>84</v>
      </c>
      <c r="S331" t="str">
        <f t="shared" si="5"/>
        <v>Very High Usage</v>
      </c>
      <c r="T331" t="s">
        <v>34</v>
      </c>
    </row>
    <row r="332" spans="1:20" x14ac:dyDescent="0.3">
      <c r="A332" t="s">
        <v>396</v>
      </c>
      <c r="B332" t="s">
        <v>26</v>
      </c>
      <c r="C332" t="s">
        <v>27</v>
      </c>
      <c r="D332" t="s">
        <v>73</v>
      </c>
      <c r="E332" t="s">
        <v>29</v>
      </c>
      <c r="F332">
        <v>30</v>
      </c>
      <c r="G332">
        <v>422.65</v>
      </c>
      <c r="H332" t="s">
        <v>109</v>
      </c>
      <c r="I332" t="s">
        <v>31</v>
      </c>
      <c r="J332" s="1">
        <v>45821</v>
      </c>
      <c r="K332" s="1">
        <f>DATE(YEAR(subscriptions[[#This Row],[signup_date]]),MONTH(subscriptions[[#This Row],[signup_date]]),1)</f>
        <v>45809</v>
      </c>
      <c r="L332" t="s">
        <v>34</v>
      </c>
      <c r="M332" s="1"/>
      <c r="N332" s="1" t="str">
        <f>IF(subscriptions[[#This Row],[churn_date]]="","",DATE(YEAR(subscriptions[[#This Row],[churn_date]]),MONTH(subscriptions[[#This Row],[churn_date]]),1))</f>
        <v/>
      </c>
      <c r="O332" t="s">
        <v>38</v>
      </c>
      <c r="P332">
        <v>11</v>
      </c>
      <c r="Q332">
        <v>5</v>
      </c>
      <c r="R332">
        <v>60</v>
      </c>
      <c r="S332" t="str">
        <f t="shared" si="5"/>
        <v>High Usage</v>
      </c>
      <c r="T332" t="s">
        <v>34</v>
      </c>
    </row>
    <row r="333" spans="1:20" x14ac:dyDescent="0.3">
      <c r="A333" t="s">
        <v>397</v>
      </c>
      <c r="B333" t="s">
        <v>26</v>
      </c>
      <c r="C333" t="s">
        <v>27</v>
      </c>
      <c r="D333" t="s">
        <v>41</v>
      </c>
      <c r="E333" t="s">
        <v>29</v>
      </c>
      <c r="F333">
        <v>77</v>
      </c>
      <c r="G333">
        <v>979.6</v>
      </c>
      <c r="H333" t="s">
        <v>71</v>
      </c>
      <c r="I333" t="s">
        <v>31</v>
      </c>
      <c r="J333" s="1">
        <v>45724</v>
      </c>
      <c r="K333" s="1">
        <f>DATE(YEAR(subscriptions[[#This Row],[signup_date]]),MONTH(subscriptions[[#This Row],[signup_date]]),1)</f>
        <v>45717</v>
      </c>
      <c r="L333" t="s">
        <v>32</v>
      </c>
      <c r="M333" s="1">
        <v>45818</v>
      </c>
      <c r="N333" s="1">
        <f>IF(subscriptions[[#This Row],[churn_date]]="","",DATE(YEAR(subscriptions[[#This Row],[churn_date]]),MONTH(subscriptions[[#This Row],[churn_date]]),1))</f>
        <v>45809</v>
      </c>
      <c r="O333" t="s">
        <v>64</v>
      </c>
      <c r="P333">
        <v>3</v>
      </c>
      <c r="Q333">
        <v>2</v>
      </c>
      <c r="R333">
        <v>40</v>
      </c>
      <c r="S333" t="str">
        <f t="shared" si="5"/>
        <v>Moderate Usage</v>
      </c>
      <c r="T333" t="s">
        <v>34</v>
      </c>
    </row>
    <row r="334" spans="1:20" x14ac:dyDescent="0.3">
      <c r="A334" t="s">
        <v>398</v>
      </c>
      <c r="B334" t="s">
        <v>26</v>
      </c>
      <c r="C334" t="s">
        <v>36</v>
      </c>
      <c r="D334" t="s">
        <v>73</v>
      </c>
      <c r="E334" t="s">
        <v>29</v>
      </c>
      <c r="F334">
        <v>18</v>
      </c>
      <c r="G334">
        <v>238.38</v>
      </c>
      <c r="H334" t="s">
        <v>43</v>
      </c>
      <c r="I334" t="s">
        <v>66</v>
      </c>
      <c r="J334" s="1">
        <v>45387</v>
      </c>
      <c r="K334" s="1">
        <f>DATE(YEAR(subscriptions[[#This Row],[signup_date]]),MONTH(subscriptions[[#This Row],[signup_date]]),1)</f>
        <v>45383</v>
      </c>
      <c r="L334" t="s">
        <v>32</v>
      </c>
      <c r="M334" s="1">
        <v>45936</v>
      </c>
      <c r="N334" s="1">
        <f>IF(subscriptions[[#This Row],[churn_date]]="","",DATE(YEAR(subscriptions[[#This Row],[churn_date]]),MONTH(subscriptions[[#This Row],[churn_date]]),1))</f>
        <v>45931</v>
      </c>
      <c r="O334" t="s">
        <v>93</v>
      </c>
      <c r="P334">
        <v>14</v>
      </c>
      <c r="Q334">
        <v>1</v>
      </c>
      <c r="R334">
        <v>33</v>
      </c>
      <c r="S334" t="str">
        <f t="shared" si="5"/>
        <v>Moderate Usage</v>
      </c>
      <c r="T334" t="s">
        <v>34</v>
      </c>
    </row>
    <row r="335" spans="1:20" x14ac:dyDescent="0.3">
      <c r="A335" t="s">
        <v>399</v>
      </c>
      <c r="B335" t="s">
        <v>40</v>
      </c>
      <c r="C335" t="s">
        <v>36</v>
      </c>
      <c r="D335" t="s">
        <v>41</v>
      </c>
      <c r="E335" t="s">
        <v>56</v>
      </c>
      <c r="F335">
        <v>85</v>
      </c>
      <c r="G335">
        <v>335.24</v>
      </c>
      <c r="H335" t="s">
        <v>30</v>
      </c>
      <c r="I335" t="s">
        <v>48</v>
      </c>
      <c r="J335" s="1">
        <v>45212</v>
      </c>
      <c r="K335" s="1">
        <f>DATE(YEAR(subscriptions[[#This Row],[signup_date]]),MONTH(subscriptions[[#This Row],[signup_date]]),1)</f>
        <v>45200</v>
      </c>
      <c r="L335" t="s">
        <v>32</v>
      </c>
      <c r="M335" s="1">
        <v>45313</v>
      </c>
      <c r="N335" s="1">
        <f>IF(subscriptions[[#This Row],[churn_date]]="","",DATE(YEAR(subscriptions[[#This Row],[churn_date]]),MONTH(subscriptions[[#This Row],[churn_date]]),1))</f>
        <v>45292</v>
      </c>
      <c r="O335" t="s">
        <v>64</v>
      </c>
      <c r="P335">
        <v>8</v>
      </c>
      <c r="Q335">
        <v>1</v>
      </c>
      <c r="R335">
        <v>35</v>
      </c>
      <c r="S335" t="str">
        <f t="shared" si="5"/>
        <v>Moderate Usage</v>
      </c>
      <c r="T335" t="s">
        <v>34</v>
      </c>
    </row>
    <row r="336" spans="1:20" x14ac:dyDescent="0.3">
      <c r="A336" t="s">
        <v>400</v>
      </c>
      <c r="B336" t="s">
        <v>26</v>
      </c>
      <c r="C336" t="s">
        <v>27</v>
      </c>
      <c r="D336" t="s">
        <v>90</v>
      </c>
      <c r="E336" t="s">
        <v>47</v>
      </c>
      <c r="F336">
        <v>18</v>
      </c>
      <c r="G336">
        <v>280.45</v>
      </c>
      <c r="H336" t="s">
        <v>109</v>
      </c>
      <c r="I336" t="s">
        <v>31</v>
      </c>
      <c r="J336" s="1">
        <v>44811</v>
      </c>
      <c r="K336" s="1">
        <f>DATE(YEAR(subscriptions[[#This Row],[signup_date]]),MONTH(subscriptions[[#This Row],[signup_date]]),1)</f>
        <v>44805</v>
      </c>
      <c r="L336" t="s">
        <v>32</v>
      </c>
      <c r="M336" s="1">
        <v>45364</v>
      </c>
      <c r="N336" s="1">
        <f>IF(subscriptions[[#This Row],[churn_date]]="","",DATE(YEAR(subscriptions[[#This Row],[churn_date]]),MONTH(subscriptions[[#This Row],[churn_date]]),1))</f>
        <v>45352</v>
      </c>
      <c r="O336" t="s">
        <v>74</v>
      </c>
      <c r="P336">
        <v>10</v>
      </c>
      <c r="Q336">
        <v>1</v>
      </c>
      <c r="R336">
        <v>27</v>
      </c>
      <c r="S336" t="str">
        <f t="shared" si="5"/>
        <v>Moderate Usage</v>
      </c>
      <c r="T336" t="s">
        <v>34</v>
      </c>
    </row>
    <row r="337" spans="1:20" x14ac:dyDescent="0.3">
      <c r="A337" t="s">
        <v>401</v>
      </c>
      <c r="B337" t="s">
        <v>45</v>
      </c>
      <c r="C337" t="s">
        <v>36</v>
      </c>
      <c r="D337" t="s">
        <v>73</v>
      </c>
      <c r="E337" t="s">
        <v>53</v>
      </c>
      <c r="F337">
        <v>5</v>
      </c>
      <c r="G337">
        <v>270.64</v>
      </c>
      <c r="H337" t="s">
        <v>30</v>
      </c>
      <c r="I337" t="s">
        <v>48</v>
      </c>
      <c r="J337" s="1">
        <v>45121</v>
      </c>
      <c r="K337" s="1">
        <f>DATE(YEAR(subscriptions[[#This Row],[signup_date]]),MONTH(subscriptions[[#This Row],[signup_date]]),1)</f>
        <v>45108</v>
      </c>
      <c r="L337" t="s">
        <v>32</v>
      </c>
      <c r="M337" s="1">
        <v>45703</v>
      </c>
      <c r="N337" s="1">
        <f>IF(subscriptions[[#This Row],[churn_date]]="","",DATE(YEAR(subscriptions[[#This Row],[churn_date]]),MONTH(subscriptions[[#This Row],[churn_date]]),1))</f>
        <v>45689</v>
      </c>
      <c r="O337" t="s">
        <v>67</v>
      </c>
      <c r="P337">
        <v>7</v>
      </c>
      <c r="Q337">
        <v>1</v>
      </c>
      <c r="R337">
        <v>36</v>
      </c>
      <c r="S337" t="str">
        <f t="shared" si="5"/>
        <v>Moderate Usage</v>
      </c>
      <c r="T337" t="s">
        <v>34</v>
      </c>
    </row>
    <row r="338" spans="1:20" x14ac:dyDescent="0.3">
      <c r="A338" t="s">
        <v>402</v>
      </c>
      <c r="B338" t="s">
        <v>40</v>
      </c>
      <c r="C338" t="s">
        <v>27</v>
      </c>
      <c r="D338" t="s">
        <v>60</v>
      </c>
      <c r="E338" t="s">
        <v>29</v>
      </c>
      <c r="F338">
        <v>65</v>
      </c>
      <c r="G338">
        <v>307.39999999999998</v>
      </c>
      <c r="H338" t="s">
        <v>71</v>
      </c>
      <c r="I338" t="s">
        <v>80</v>
      </c>
      <c r="J338" s="1">
        <v>44887</v>
      </c>
      <c r="K338" s="1">
        <f>DATE(YEAR(subscriptions[[#This Row],[signup_date]]),MONTH(subscriptions[[#This Row],[signup_date]]),1)</f>
        <v>44866</v>
      </c>
      <c r="L338" t="s">
        <v>32</v>
      </c>
      <c r="M338" s="1">
        <v>45004</v>
      </c>
      <c r="N338" s="1">
        <f>IF(subscriptions[[#This Row],[churn_date]]="","",DATE(YEAR(subscriptions[[#This Row],[churn_date]]),MONTH(subscriptions[[#This Row],[churn_date]]),1))</f>
        <v>44986</v>
      </c>
      <c r="O338" t="s">
        <v>33</v>
      </c>
      <c r="P338">
        <v>3</v>
      </c>
      <c r="Q338">
        <v>1</v>
      </c>
      <c r="R338">
        <v>45</v>
      </c>
      <c r="S338" t="str">
        <f t="shared" si="5"/>
        <v>Moderate Usage</v>
      </c>
      <c r="T338" t="s">
        <v>34</v>
      </c>
    </row>
    <row r="339" spans="1:20" x14ac:dyDescent="0.3">
      <c r="A339" t="s">
        <v>403</v>
      </c>
      <c r="B339" t="s">
        <v>40</v>
      </c>
      <c r="C339" t="s">
        <v>36</v>
      </c>
      <c r="D339" t="s">
        <v>52</v>
      </c>
      <c r="E339" t="s">
        <v>47</v>
      </c>
      <c r="F339">
        <v>26</v>
      </c>
      <c r="G339">
        <v>117.09</v>
      </c>
      <c r="H339" t="s">
        <v>43</v>
      </c>
      <c r="I339" t="s">
        <v>31</v>
      </c>
      <c r="J339" s="1">
        <v>45320</v>
      </c>
      <c r="K339" s="1">
        <f>DATE(YEAR(subscriptions[[#This Row],[signup_date]]),MONTH(subscriptions[[#This Row],[signup_date]]),1)</f>
        <v>45292</v>
      </c>
      <c r="L339" t="s">
        <v>34</v>
      </c>
      <c r="M339" s="1"/>
      <c r="N339" s="1" t="str">
        <f>IF(subscriptions[[#This Row],[churn_date]]="","",DATE(YEAR(subscriptions[[#This Row],[churn_date]]),MONTH(subscriptions[[#This Row],[churn_date]]),1))</f>
        <v/>
      </c>
      <c r="O339" t="s">
        <v>38</v>
      </c>
      <c r="P339">
        <v>4</v>
      </c>
      <c r="Q339">
        <v>8</v>
      </c>
      <c r="R339">
        <v>42</v>
      </c>
      <c r="S339" t="str">
        <f t="shared" si="5"/>
        <v>Moderate Usage</v>
      </c>
      <c r="T339" t="s">
        <v>32</v>
      </c>
    </row>
    <row r="340" spans="1:20" x14ac:dyDescent="0.3">
      <c r="A340" t="s">
        <v>404</v>
      </c>
      <c r="B340" t="s">
        <v>40</v>
      </c>
      <c r="C340" t="s">
        <v>27</v>
      </c>
      <c r="D340" t="s">
        <v>60</v>
      </c>
      <c r="E340" t="s">
        <v>53</v>
      </c>
      <c r="F340">
        <v>4</v>
      </c>
      <c r="G340">
        <v>42.05</v>
      </c>
      <c r="H340" t="s">
        <v>30</v>
      </c>
      <c r="I340" t="s">
        <v>31</v>
      </c>
      <c r="J340" s="1">
        <v>45440</v>
      </c>
      <c r="K340" s="1">
        <f>DATE(YEAR(subscriptions[[#This Row],[signup_date]]),MONTH(subscriptions[[#This Row],[signup_date]]),1)</f>
        <v>45413</v>
      </c>
      <c r="L340" t="s">
        <v>32</v>
      </c>
      <c r="M340" s="1">
        <v>45677</v>
      </c>
      <c r="N340" s="1">
        <f>IF(subscriptions[[#This Row],[churn_date]]="","",DATE(YEAR(subscriptions[[#This Row],[churn_date]]),MONTH(subscriptions[[#This Row],[churn_date]]),1))</f>
        <v>45658</v>
      </c>
      <c r="O340" t="s">
        <v>33</v>
      </c>
      <c r="P340">
        <v>0</v>
      </c>
      <c r="Q340">
        <v>4</v>
      </c>
      <c r="R340">
        <v>13</v>
      </c>
      <c r="S340" t="str">
        <f t="shared" si="5"/>
        <v>Very Low Usage</v>
      </c>
      <c r="T340" t="s">
        <v>34</v>
      </c>
    </row>
    <row r="341" spans="1:20" x14ac:dyDescent="0.3">
      <c r="A341" t="s">
        <v>405</v>
      </c>
      <c r="B341" t="s">
        <v>40</v>
      </c>
      <c r="C341" t="s">
        <v>36</v>
      </c>
      <c r="D341" t="s">
        <v>73</v>
      </c>
      <c r="E341" t="s">
        <v>56</v>
      </c>
      <c r="F341">
        <v>140</v>
      </c>
      <c r="G341">
        <v>538.6</v>
      </c>
      <c r="H341" t="s">
        <v>30</v>
      </c>
      <c r="I341" t="s">
        <v>48</v>
      </c>
      <c r="J341" s="1">
        <v>44742</v>
      </c>
      <c r="K341" s="1">
        <f>DATE(YEAR(subscriptions[[#This Row],[signup_date]]),MONTH(subscriptions[[#This Row],[signup_date]]),1)</f>
        <v>44713</v>
      </c>
      <c r="L341" t="s">
        <v>32</v>
      </c>
      <c r="M341" s="1">
        <v>44835</v>
      </c>
      <c r="N341" s="1">
        <f>IF(subscriptions[[#This Row],[churn_date]]="","",DATE(YEAR(subscriptions[[#This Row],[churn_date]]),MONTH(subscriptions[[#This Row],[churn_date]]),1))</f>
        <v>44835</v>
      </c>
      <c r="O341" t="s">
        <v>64</v>
      </c>
      <c r="P341">
        <v>14</v>
      </c>
      <c r="Q341">
        <v>2</v>
      </c>
      <c r="R341">
        <v>43</v>
      </c>
      <c r="S341" t="str">
        <f t="shared" si="5"/>
        <v>Moderate Usage</v>
      </c>
      <c r="T341" t="s">
        <v>34</v>
      </c>
    </row>
    <row r="342" spans="1:20" x14ac:dyDescent="0.3">
      <c r="A342" t="s">
        <v>406</v>
      </c>
      <c r="B342" t="s">
        <v>40</v>
      </c>
      <c r="C342" t="s">
        <v>27</v>
      </c>
      <c r="D342" t="s">
        <v>46</v>
      </c>
      <c r="E342" t="s">
        <v>56</v>
      </c>
      <c r="F342">
        <v>41</v>
      </c>
      <c r="G342">
        <v>203</v>
      </c>
      <c r="H342" t="s">
        <v>71</v>
      </c>
      <c r="I342" t="s">
        <v>31</v>
      </c>
      <c r="J342" s="1">
        <v>45735</v>
      </c>
      <c r="K342" s="1">
        <f>DATE(YEAR(subscriptions[[#This Row],[signup_date]]),MONTH(subscriptions[[#This Row],[signup_date]]),1)</f>
        <v>45717</v>
      </c>
      <c r="L342" t="s">
        <v>32</v>
      </c>
      <c r="M342" s="1">
        <v>45832</v>
      </c>
      <c r="N342" s="1">
        <f>IF(subscriptions[[#This Row],[churn_date]]="","",DATE(YEAR(subscriptions[[#This Row],[churn_date]]),MONTH(subscriptions[[#This Row],[churn_date]]),1))</f>
        <v>45809</v>
      </c>
      <c r="O342" t="s">
        <v>74</v>
      </c>
      <c r="P342">
        <v>12</v>
      </c>
      <c r="Q342">
        <v>1</v>
      </c>
      <c r="R342">
        <v>40</v>
      </c>
      <c r="S342" t="str">
        <f t="shared" si="5"/>
        <v>Moderate Usage</v>
      </c>
      <c r="T342" t="s">
        <v>34</v>
      </c>
    </row>
    <row r="343" spans="1:20" x14ac:dyDescent="0.3">
      <c r="A343" t="s">
        <v>407</v>
      </c>
      <c r="B343" t="s">
        <v>40</v>
      </c>
      <c r="C343" t="s">
        <v>36</v>
      </c>
      <c r="D343" t="s">
        <v>28</v>
      </c>
      <c r="E343" t="s">
        <v>56</v>
      </c>
      <c r="F343">
        <v>78</v>
      </c>
      <c r="G343">
        <v>309.36</v>
      </c>
      <c r="H343" t="s">
        <v>71</v>
      </c>
      <c r="I343" t="s">
        <v>48</v>
      </c>
      <c r="J343" s="1">
        <v>45519</v>
      </c>
      <c r="K343" s="1">
        <f>DATE(YEAR(subscriptions[[#This Row],[signup_date]]),MONTH(subscriptions[[#This Row],[signup_date]]),1)</f>
        <v>45505</v>
      </c>
      <c r="L343" t="s">
        <v>32</v>
      </c>
      <c r="M343" s="1">
        <v>45884</v>
      </c>
      <c r="N343" s="1">
        <f>IF(subscriptions[[#This Row],[churn_date]]="","",DATE(YEAR(subscriptions[[#This Row],[churn_date]]),MONTH(subscriptions[[#This Row],[churn_date]]),1))</f>
        <v>45870</v>
      </c>
      <c r="O343" t="s">
        <v>61</v>
      </c>
      <c r="P343">
        <v>3</v>
      </c>
      <c r="Q343">
        <v>1</v>
      </c>
      <c r="R343">
        <v>35</v>
      </c>
      <c r="S343" t="str">
        <f t="shared" si="5"/>
        <v>Moderate Usage</v>
      </c>
      <c r="T343" t="s">
        <v>34</v>
      </c>
    </row>
    <row r="344" spans="1:20" x14ac:dyDescent="0.3">
      <c r="A344" t="s">
        <v>408</v>
      </c>
      <c r="B344" t="s">
        <v>45</v>
      </c>
      <c r="C344" t="s">
        <v>36</v>
      </c>
      <c r="D344" t="s">
        <v>79</v>
      </c>
      <c r="E344" t="s">
        <v>47</v>
      </c>
      <c r="F344">
        <v>12</v>
      </c>
      <c r="G344">
        <v>448.25</v>
      </c>
      <c r="H344" t="s">
        <v>54</v>
      </c>
      <c r="I344" t="s">
        <v>80</v>
      </c>
      <c r="J344" s="1">
        <v>45069</v>
      </c>
      <c r="K344" s="1">
        <f>DATE(YEAR(subscriptions[[#This Row],[signup_date]]),MONTH(subscriptions[[#This Row],[signup_date]]),1)</f>
        <v>45047</v>
      </c>
      <c r="L344" t="s">
        <v>32</v>
      </c>
      <c r="M344" s="1">
        <v>45765</v>
      </c>
      <c r="N344" s="1">
        <f>IF(subscriptions[[#This Row],[churn_date]]="","",DATE(YEAR(subscriptions[[#This Row],[churn_date]]),MONTH(subscriptions[[#This Row],[churn_date]]),1))</f>
        <v>45748</v>
      </c>
      <c r="O344" t="s">
        <v>74</v>
      </c>
      <c r="P344">
        <v>12</v>
      </c>
      <c r="Q344">
        <v>6</v>
      </c>
      <c r="R344">
        <v>19</v>
      </c>
      <c r="S344" t="str">
        <f t="shared" si="5"/>
        <v>Very Low Usage</v>
      </c>
      <c r="T344" t="s">
        <v>34</v>
      </c>
    </row>
    <row r="345" spans="1:20" x14ac:dyDescent="0.3">
      <c r="A345" t="s">
        <v>409</v>
      </c>
      <c r="B345" t="s">
        <v>26</v>
      </c>
      <c r="C345" t="s">
        <v>27</v>
      </c>
      <c r="D345" t="s">
        <v>28</v>
      </c>
      <c r="E345" t="s">
        <v>47</v>
      </c>
      <c r="F345">
        <v>32</v>
      </c>
      <c r="G345">
        <v>446.35</v>
      </c>
      <c r="H345" t="s">
        <v>54</v>
      </c>
      <c r="I345" t="s">
        <v>66</v>
      </c>
      <c r="J345" s="1">
        <v>44703</v>
      </c>
      <c r="K345" s="1">
        <f>DATE(YEAR(subscriptions[[#This Row],[signup_date]]),MONTH(subscriptions[[#This Row],[signup_date]]),1)</f>
        <v>44682</v>
      </c>
      <c r="L345" t="s">
        <v>32</v>
      </c>
      <c r="M345" s="1">
        <v>45092</v>
      </c>
      <c r="N345" s="1">
        <f>IF(subscriptions[[#This Row],[churn_date]]="","",DATE(YEAR(subscriptions[[#This Row],[churn_date]]),MONTH(subscriptions[[#This Row],[churn_date]]),1))</f>
        <v>45078</v>
      </c>
      <c r="O345" t="s">
        <v>67</v>
      </c>
      <c r="P345">
        <v>3</v>
      </c>
      <c r="Q345">
        <v>3</v>
      </c>
      <c r="R345">
        <v>29</v>
      </c>
      <c r="S345" t="str">
        <f t="shared" si="5"/>
        <v>Moderate Usage</v>
      </c>
      <c r="T345" t="s">
        <v>34</v>
      </c>
    </row>
    <row r="346" spans="1:20" x14ac:dyDescent="0.3">
      <c r="A346" t="s">
        <v>410</v>
      </c>
      <c r="B346" t="s">
        <v>45</v>
      </c>
      <c r="C346" t="s">
        <v>36</v>
      </c>
      <c r="D346" t="s">
        <v>73</v>
      </c>
      <c r="E346" t="s">
        <v>53</v>
      </c>
      <c r="F346">
        <v>4</v>
      </c>
      <c r="G346">
        <v>245.27</v>
      </c>
      <c r="H346" t="s">
        <v>71</v>
      </c>
      <c r="I346" t="s">
        <v>48</v>
      </c>
      <c r="J346" s="1">
        <v>44830</v>
      </c>
      <c r="K346" s="1">
        <f>DATE(YEAR(subscriptions[[#This Row],[signup_date]]),MONTH(subscriptions[[#This Row],[signup_date]]),1)</f>
        <v>44805</v>
      </c>
      <c r="L346" t="s">
        <v>34</v>
      </c>
      <c r="M346" s="1"/>
      <c r="N346" s="1" t="str">
        <f>IF(subscriptions[[#This Row],[churn_date]]="","",DATE(YEAR(subscriptions[[#This Row],[churn_date]]),MONTH(subscriptions[[#This Row],[churn_date]]),1))</f>
        <v/>
      </c>
      <c r="O346" t="s">
        <v>38</v>
      </c>
      <c r="P346">
        <v>4</v>
      </c>
      <c r="Q346">
        <v>2</v>
      </c>
      <c r="R346">
        <v>93</v>
      </c>
      <c r="S346" t="str">
        <f t="shared" si="5"/>
        <v>Very High Usage</v>
      </c>
      <c r="T346" t="s">
        <v>34</v>
      </c>
    </row>
    <row r="347" spans="1:20" x14ac:dyDescent="0.3">
      <c r="A347" t="s">
        <v>411</v>
      </c>
      <c r="B347" t="s">
        <v>45</v>
      </c>
      <c r="C347" t="s">
        <v>27</v>
      </c>
      <c r="D347" t="s">
        <v>73</v>
      </c>
      <c r="E347" t="s">
        <v>56</v>
      </c>
      <c r="F347">
        <v>126</v>
      </c>
      <c r="G347">
        <v>3930.25</v>
      </c>
      <c r="H347" t="s">
        <v>71</v>
      </c>
      <c r="I347" t="s">
        <v>31</v>
      </c>
      <c r="J347" s="1">
        <v>45979</v>
      </c>
      <c r="K347" s="1">
        <f>DATE(YEAR(subscriptions[[#This Row],[signup_date]]),MONTH(subscriptions[[#This Row],[signup_date]]),1)</f>
        <v>45962</v>
      </c>
      <c r="L347" t="s">
        <v>34</v>
      </c>
      <c r="M347" s="1"/>
      <c r="N347" s="1" t="str">
        <f>IF(subscriptions[[#This Row],[churn_date]]="","",DATE(YEAR(subscriptions[[#This Row],[churn_date]]),MONTH(subscriptions[[#This Row],[churn_date]]),1))</f>
        <v/>
      </c>
      <c r="O347" t="s">
        <v>38</v>
      </c>
      <c r="P347">
        <v>9</v>
      </c>
      <c r="Q347">
        <v>8</v>
      </c>
      <c r="R347">
        <v>20</v>
      </c>
      <c r="S347" t="str">
        <f t="shared" si="5"/>
        <v>Very Low Usage</v>
      </c>
      <c r="T347" t="s">
        <v>34</v>
      </c>
    </row>
    <row r="348" spans="1:20" x14ac:dyDescent="0.3">
      <c r="A348" t="s">
        <v>412</v>
      </c>
      <c r="B348" t="s">
        <v>26</v>
      </c>
      <c r="C348" t="s">
        <v>36</v>
      </c>
      <c r="D348" t="s">
        <v>60</v>
      </c>
      <c r="E348" t="s">
        <v>29</v>
      </c>
      <c r="F348">
        <v>17</v>
      </c>
      <c r="G348">
        <v>228.31</v>
      </c>
      <c r="H348" t="s">
        <v>30</v>
      </c>
      <c r="I348" t="s">
        <v>48</v>
      </c>
      <c r="J348" s="1">
        <v>45925</v>
      </c>
      <c r="K348" s="1">
        <f>DATE(YEAR(subscriptions[[#This Row],[signup_date]]),MONTH(subscriptions[[#This Row],[signup_date]]),1)</f>
        <v>45901</v>
      </c>
      <c r="L348" t="s">
        <v>34</v>
      </c>
      <c r="M348" s="1"/>
      <c r="N348" s="1" t="str">
        <f>IF(subscriptions[[#This Row],[churn_date]]="","",DATE(YEAR(subscriptions[[#This Row],[churn_date]]),MONTH(subscriptions[[#This Row],[churn_date]]),1))</f>
        <v/>
      </c>
      <c r="O348" t="s">
        <v>38</v>
      </c>
      <c r="P348">
        <v>5</v>
      </c>
      <c r="Q348">
        <v>4</v>
      </c>
      <c r="R348">
        <v>21</v>
      </c>
      <c r="S348" t="str">
        <f t="shared" si="5"/>
        <v>Moderate Usage</v>
      </c>
      <c r="T348" t="s">
        <v>34</v>
      </c>
    </row>
    <row r="349" spans="1:20" x14ac:dyDescent="0.3">
      <c r="A349" t="s">
        <v>413</v>
      </c>
      <c r="B349" t="s">
        <v>45</v>
      </c>
      <c r="C349" t="s">
        <v>27</v>
      </c>
      <c r="D349" t="s">
        <v>52</v>
      </c>
      <c r="E349" t="s">
        <v>29</v>
      </c>
      <c r="F349">
        <v>73</v>
      </c>
      <c r="G349">
        <v>2348.1999999999998</v>
      </c>
      <c r="H349" t="s">
        <v>30</v>
      </c>
      <c r="I349" t="s">
        <v>66</v>
      </c>
      <c r="J349" s="1">
        <v>45813</v>
      </c>
      <c r="K349" s="1">
        <f>DATE(YEAR(subscriptions[[#This Row],[signup_date]]),MONTH(subscriptions[[#This Row],[signup_date]]),1)</f>
        <v>45809</v>
      </c>
      <c r="L349" t="s">
        <v>34</v>
      </c>
      <c r="M349" s="1"/>
      <c r="N349" s="1" t="str">
        <f>IF(subscriptions[[#This Row],[churn_date]]="","",DATE(YEAR(subscriptions[[#This Row],[churn_date]]),MONTH(subscriptions[[#This Row],[churn_date]]),1))</f>
        <v/>
      </c>
      <c r="O349" t="s">
        <v>38</v>
      </c>
      <c r="P349">
        <v>9</v>
      </c>
      <c r="Q349">
        <v>5</v>
      </c>
      <c r="R349">
        <v>74</v>
      </c>
      <c r="S349" t="str">
        <f t="shared" si="5"/>
        <v>High Usage</v>
      </c>
      <c r="T349" t="s">
        <v>34</v>
      </c>
    </row>
    <row r="350" spans="1:20" x14ac:dyDescent="0.3">
      <c r="A350" t="s">
        <v>414</v>
      </c>
      <c r="B350" t="s">
        <v>45</v>
      </c>
      <c r="C350" t="s">
        <v>36</v>
      </c>
      <c r="D350" t="s">
        <v>79</v>
      </c>
      <c r="E350" t="s">
        <v>47</v>
      </c>
      <c r="F350">
        <v>29</v>
      </c>
      <c r="G350">
        <v>879.58</v>
      </c>
      <c r="H350" t="s">
        <v>71</v>
      </c>
      <c r="I350" t="s">
        <v>31</v>
      </c>
      <c r="J350" s="1">
        <v>45457</v>
      </c>
      <c r="K350" s="1">
        <f>DATE(YEAR(subscriptions[[#This Row],[signup_date]]),MONTH(subscriptions[[#This Row],[signup_date]]),1)</f>
        <v>45444</v>
      </c>
      <c r="L350" t="s">
        <v>34</v>
      </c>
      <c r="M350" s="1"/>
      <c r="N350" s="1" t="str">
        <f>IF(subscriptions[[#This Row],[churn_date]]="","",DATE(YEAR(subscriptions[[#This Row],[churn_date]]),MONTH(subscriptions[[#This Row],[churn_date]]),1))</f>
        <v/>
      </c>
      <c r="O350" t="s">
        <v>38</v>
      </c>
      <c r="P350">
        <v>7</v>
      </c>
      <c r="Q350">
        <v>10</v>
      </c>
      <c r="R350">
        <v>33</v>
      </c>
      <c r="S350" t="str">
        <f t="shared" si="5"/>
        <v>Moderate Usage</v>
      </c>
      <c r="T350" t="s">
        <v>34</v>
      </c>
    </row>
    <row r="351" spans="1:20" x14ac:dyDescent="0.3">
      <c r="A351" t="s">
        <v>415</v>
      </c>
      <c r="B351" t="s">
        <v>26</v>
      </c>
      <c r="C351" t="s">
        <v>27</v>
      </c>
      <c r="D351" t="s">
        <v>60</v>
      </c>
      <c r="E351" t="s">
        <v>29</v>
      </c>
      <c r="F351">
        <v>59</v>
      </c>
      <c r="G351">
        <v>766.3</v>
      </c>
      <c r="H351" t="s">
        <v>109</v>
      </c>
      <c r="I351" t="s">
        <v>31</v>
      </c>
      <c r="J351" s="1">
        <v>44619</v>
      </c>
      <c r="K351" s="1">
        <f>DATE(YEAR(subscriptions[[#This Row],[signup_date]]),MONTH(subscriptions[[#This Row],[signup_date]]),1)</f>
        <v>44593</v>
      </c>
      <c r="L351" t="s">
        <v>32</v>
      </c>
      <c r="M351" s="1">
        <v>44837</v>
      </c>
      <c r="N351" s="1">
        <f>IF(subscriptions[[#This Row],[churn_date]]="","",DATE(YEAR(subscriptions[[#This Row],[churn_date]]),MONTH(subscriptions[[#This Row],[churn_date]]),1))</f>
        <v>44835</v>
      </c>
      <c r="O351" t="s">
        <v>61</v>
      </c>
      <c r="P351">
        <v>6</v>
      </c>
      <c r="Q351">
        <v>2</v>
      </c>
      <c r="R351">
        <v>21</v>
      </c>
      <c r="S351" t="str">
        <f t="shared" si="5"/>
        <v>Moderate Usage</v>
      </c>
      <c r="T351" t="s">
        <v>34</v>
      </c>
    </row>
    <row r="352" spans="1:20" x14ac:dyDescent="0.3">
      <c r="A352" t="s">
        <v>416</v>
      </c>
      <c r="B352" t="s">
        <v>40</v>
      </c>
      <c r="C352" t="s">
        <v>36</v>
      </c>
      <c r="D352" t="s">
        <v>28</v>
      </c>
      <c r="E352" t="s">
        <v>53</v>
      </c>
      <c r="F352">
        <v>4</v>
      </c>
      <c r="G352">
        <v>35.74</v>
      </c>
      <c r="H352" t="s">
        <v>71</v>
      </c>
      <c r="I352" t="s">
        <v>31</v>
      </c>
      <c r="J352" s="1">
        <v>45494</v>
      </c>
      <c r="K352" s="1">
        <f>DATE(YEAR(subscriptions[[#This Row],[signup_date]]),MONTH(subscriptions[[#This Row],[signup_date]]),1)</f>
        <v>45474</v>
      </c>
      <c r="L352" t="s">
        <v>32</v>
      </c>
      <c r="M352" s="1">
        <v>45629</v>
      </c>
      <c r="N352" s="1">
        <f>IF(subscriptions[[#This Row],[churn_date]]="","",DATE(YEAR(subscriptions[[#This Row],[churn_date]]),MONTH(subscriptions[[#This Row],[churn_date]]),1))</f>
        <v>45627</v>
      </c>
      <c r="O352" t="s">
        <v>93</v>
      </c>
      <c r="P352">
        <v>8</v>
      </c>
      <c r="Q352">
        <v>6</v>
      </c>
      <c r="R352">
        <v>47</v>
      </c>
      <c r="S352" t="str">
        <f t="shared" si="5"/>
        <v>Moderate Usage</v>
      </c>
      <c r="T352" t="s">
        <v>34</v>
      </c>
    </row>
    <row r="353" spans="1:20" x14ac:dyDescent="0.3">
      <c r="A353" t="s">
        <v>417</v>
      </c>
      <c r="B353" t="s">
        <v>40</v>
      </c>
      <c r="C353" t="s">
        <v>27</v>
      </c>
      <c r="D353" t="s">
        <v>73</v>
      </c>
      <c r="E353" t="s">
        <v>42</v>
      </c>
      <c r="F353">
        <v>130</v>
      </c>
      <c r="G353">
        <v>590.15</v>
      </c>
      <c r="H353" t="s">
        <v>43</v>
      </c>
      <c r="I353" t="s">
        <v>48</v>
      </c>
      <c r="J353" s="1">
        <v>45125</v>
      </c>
      <c r="K353" s="1">
        <f>DATE(YEAR(subscriptions[[#This Row],[signup_date]]),MONTH(subscriptions[[#This Row],[signup_date]]),1)</f>
        <v>45108</v>
      </c>
      <c r="L353" t="s">
        <v>32</v>
      </c>
      <c r="M353" s="1">
        <v>45423</v>
      </c>
      <c r="N353" s="1">
        <f>IF(subscriptions[[#This Row],[churn_date]]="","",DATE(YEAR(subscriptions[[#This Row],[churn_date]]),MONTH(subscriptions[[#This Row],[churn_date]]),1))</f>
        <v>45413</v>
      </c>
      <c r="O353" t="s">
        <v>64</v>
      </c>
      <c r="P353">
        <v>5</v>
      </c>
      <c r="Q353">
        <v>4</v>
      </c>
      <c r="R353">
        <v>23</v>
      </c>
      <c r="S353" t="str">
        <f t="shared" si="5"/>
        <v>Moderate Usage</v>
      </c>
      <c r="T353" t="s">
        <v>34</v>
      </c>
    </row>
    <row r="354" spans="1:20" x14ac:dyDescent="0.3">
      <c r="A354" t="s">
        <v>418</v>
      </c>
      <c r="B354" t="s">
        <v>45</v>
      </c>
      <c r="C354" t="s">
        <v>36</v>
      </c>
      <c r="D354" t="s">
        <v>63</v>
      </c>
      <c r="E354" t="s">
        <v>56</v>
      </c>
      <c r="F354">
        <v>61</v>
      </c>
      <c r="G354">
        <v>1691.5</v>
      </c>
      <c r="H354" t="s">
        <v>109</v>
      </c>
      <c r="I354" t="s">
        <v>48</v>
      </c>
      <c r="J354" s="1">
        <v>45749</v>
      </c>
      <c r="K354" s="1">
        <f>DATE(YEAR(subscriptions[[#This Row],[signup_date]]),MONTH(subscriptions[[#This Row],[signup_date]]),1)</f>
        <v>45748</v>
      </c>
      <c r="L354" t="s">
        <v>32</v>
      </c>
      <c r="M354" s="1">
        <v>45793</v>
      </c>
      <c r="N354" s="1">
        <f>IF(subscriptions[[#This Row],[churn_date]]="","",DATE(YEAR(subscriptions[[#This Row],[churn_date]]),MONTH(subscriptions[[#This Row],[churn_date]]),1))</f>
        <v>45778</v>
      </c>
      <c r="O354" t="s">
        <v>93</v>
      </c>
      <c r="P354">
        <v>15</v>
      </c>
      <c r="Q354">
        <v>5</v>
      </c>
      <c r="R354">
        <v>33</v>
      </c>
      <c r="S354" t="str">
        <f t="shared" si="5"/>
        <v>Moderate Usage</v>
      </c>
      <c r="T354" t="s">
        <v>34</v>
      </c>
    </row>
    <row r="355" spans="1:20" x14ac:dyDescent="0.3">
      <c r="A355" t="s">
        <v>419</v>
      </c>
      <c r="B355" t="s">
        <v>45</v>
      </c>
      <c r="C355" t="s">
        <v>36</v>
      </c>
      <c r="D355" t="s">
        <v>41</v>
      </c>
      <c r="E355" t="s">
        <v>53</v>
      </c>
      <c r="F355">
        <v>8</v>
      </c>
      <c r="G355">
        <v>346.76</v>
      </c>
      <c r="H355" t="s">
        <v>43</v>
      </c>
      <c r="I355" t="s">
        <v>31</v>
      </c>
      <c r="J355" s="1">
        <v>44737</v>
      </c>
      <c r="K355" s="1">
        <f>DATE(YEAR(subscriptions[[#This Row],[signup_date]]),MONTH(subscriptions[[#This Row],[signup_date]]),1)</f>
        <v>44713</v>
      </c>
      <c r="L355" t="s">
        <v>32</v>
      </c>
      <c r="M355" s="1">
        <v>45655</v>
      </c>
      <c r="N355" s="1">
        <f>IF(subscriptions[[#This Row],[churn_date]]="","",DATE(YEAR(subscriptions[[#This Row],[churn_date]]),MONTH(subscriptions[[#This Row],[churn_date]]),1))</f>
        <v>45627</v>
      </c>
      <c r="O355" t="s">
        <v>57</v>
      </c>
      <c r="P355">
        <v>10</v>
      </c>
      <c r="Q355">
        <v>6</v>
      </c>
      <c r="R355">
        <v>30</v>
      </c>
      <c r="S355" t="str">
        <f t="shared" si="5"/>
        <v>Moderate Usage</v>
      </c>
      <c r="T355" t="s">
        <v>34</v>
      </c>
    </row>
    <row r="356" spans="1:20" x14ac:dyDescent="0.3">
      <c r="A356" t="s">
        <v>420</v>
      </c>
      <c r="B356" t="s">
        <v>40</v>
      </c>
      <c r="C356" t="s">
        <v>36</v>
      </c>
      <c r="D356" t="s">
        <v>63</v>
      </c>
      <c r="E356" t="s">
        <v>29</v>
      </c>
      <c r="F356">
        <v>43</v>
      </c>
      <c r="G356">
        <v>179.94</v>
      </c>
      <c r="H356" t="s">
        <v>30</v>
      </c>
      <c r="I356" t="s">
        <v>31</v>
      </c>
      <c r="J356" s="1">
        <v>45592</v>
      </c>
      <c r="K356" s="1">
        <f>DATE(YEAR(subscriptions[[#This Row],[signup_date]]),MONTH(subscriptions[[#This Row],[signup_date]]),1)</f>
        <v>45566</v>
      </c>
      <c r="L356" t="s">
        <v>34</v>
      </c>
      <c r="M356" s="1"/>
      <c r="N356" s="1" t="str">
        <f>IF(subscriptions[[#This Row],[churn_date]]="","",DATE(YEAR(subscriptions[[#This Row],[churn_date]]),MONTH(subscriptions[[#This Row],[churn_date]]),1))</f>
        <v/>
      </c>
      <c r="O356" t="s">
        <v>38</v>
      </c>
      <c r="P356">
        <v>3</v>
      </c>
      <c r="Q356">
        <v>3</v>
      </c>
      <c r="R356">
        <v>63</v>
      </c>
      <c r="S356" t="str">
        <f t="shared" si="5"/>
        <v>High Usage</v>
      </c>
      <c r="T356" t="s">
        <v>34</v>
      </c>
    </row>
    <row r="357" spans="1:20" x14ac:dyDescent="0.3">
      <c r="A357" t="s">
        <v>421</v>
      </c>
      <c r="B357" t="s">
        <v>40</v>
      </c>
      <c r="C357" t="s">
        <v>36</v>
      </c>
      <c r="D357" t="s">
        <v>60</v>
      </c>
      <c r="E357" t="s">
        <v>47</v>
      </c>
      <c r="F357">
        <v>6</v>
      </c>
      <c r="G357">
        <v>43.14</v>
      </c>
      <c r="H357" t="s">
        <v>30</v>
      </c>
      <c r="I357" t="s">
        <v>31</v>
      </c>
      <c r="J357" s="1">
        <v>44817</v>
      </c>
      <c r="K357" s="1">
        <f>DATE(YEAR(subscriptions[[#This Row],[signup_date]]),MONTH(subscriptions[[#This Row],[signup_date]]),1)</f>
        <v>44805</v>
      </c>
      <c r="L357" t="s">
        <v>32</v>
      </c>
      <c r="M357" s="1">
        <v>44870</v>
      </c>
      <c r="N357" s="1">
        <f>IF(subscriptions[[#This Row],[churn_date]]="","",DATE(YEAR(subscriptions[[#This Row],[churn_date]]),MONTH(subscriptions[[#This Row],[churn_date]]),1))</f>
        <v>44866</v>
      </c>
      <c r="O357" t="s">
        <v>57</v>
      </c>
      <c r="P357">
        <v>15</v>
      </c>
      <c r="Q357">
        <v>3</v>
      </c>
      <c r="R357">
        <v>46</v>
      </c>
      <c r="S357" t="str">
        <f t="shared" si="5"/>
        <v>Moderate Usage</v>
      </c>
      <c r="T357" t="s">
        <v>34</v>
      </c>
    </row>
    <row r="358" spans="1:20" x14ac:dyDescent="0.3">
      <c r="A358" t="s">
        <v>422</v>
      </c>
      <c r="B358" t="s">
        <v>40</v>
      </c>
      <c r="C358" t="s">
        <v>36</v>
      </c>
      <c r="D358" t="s">
        <v>63</v>
      </c>
      <c r="E358" t="s">
        <v>56</v>
      </c>
      <c r="F358">
        <v>92</v>
      </c>
      <c r="G358">
        <v>361.12</v>
      </c>
      <c r="H358" t="s">
        <v>30</v>
      </c>
      <c r="I358" t="s">
        <v>31</v>
      </c>
      <c r="J358" s="1">
        <v>44949</v>
      </c>
      <c r="K358" s="1">
        <f>DATE(YEAR(subscriptions[[#This Row],[signup_date]]),MONTH(subscriptions[[#This Row],[signup_date]]),1)</f>
        <v>44927</v>
      </c>
      <c r="L358" t="s">
        <v>32</v>
      </c>
      <c r="M358" s="1">
        <v>45080</v>
      </c>
      <c r="N358" s="1">
        <f>IF(subscriptions[[#This Row],[churn_date]]="","",DATE(YEAR(subscriptions[[#This Row],[churn_date]]),MONTH(subscriptions[[#This Row],[churn_date]]),1))</f>
        <v>45078</v>
      </c>
      <c r="O358" t="s">
        <v>93</v>
      </c>
      <c r="P358">
        <v>13</v>
      </c>
      <c r="Q358">
        <v>1</v>
      </c>
      <c r="R358">
        <v>38</v>
      </c>
      <c r="S358" t="str">
        <f t="shared" si="5"/>
        <v>Moderate Usage</v>
      </c>
      <c r="T358" t="s">
        <v>34</v>
      </c>
    </row>
    <row r="359" spans="1:20" x14ac:dyDescent="0.3">
      <c r="A359" t="s">
        <v>423</v>
      </c>
      <c r="B359" t="s">
        <v>40</v>
      </c>
      <c r="C359" t="s">
        <v>36</v>
      </c>
      <c r="D359" t="s">
        <v>90</v>
      </c>
      <c r="E359" t="s">
        <v>29</v>
      </c>
      <c r="F359">
        <v>30</v>
      </c>
      <c r="G359">
        <v>131.88</v>
      </c>
      <c r="H359" t="s">
        <v>54</v>
      </c>
      <c r="I359" t="s">
        <v>48</v>
      </c>
      <c r="J359" s="1">
        <v>45712</v>
      </c>
      <c r="K359" s="1">
        <f>DATE(YEAR(subscriptions[[#This Row],[signup_date]]),MONTH(subscriptions[[#This Row],[signup_date]]),1)</f>
        <v>45689</v>
      </c>
      <c r="L359" t="s">
        <v>34</v>
      </c>
      <c r="M359" s="1"/>
      <c r="N359" s="1" t="str">
        <f>IF(subscriptions[[#This Row],[churn_date]]="","",DATE(YEAR(subscriptions[[#This Row],[churn_date]]),MONTH(subscriptions[[#This Row],[churn_date]]),1))</f>
        <v/>
      </c>
      <c r="O359" t="s">
        <v>38</v>
      </c>
      <c r="P359">
        <v>1</v>
      </c>
      <c r="Q359">
        <v>7</v>
      </c>
      <c r="R359">
        <v>39</v>
      </c>
      <c r="S359" t="str">
        <f t="shared" si="5"/>
        <v>Moderate Usage</v>
      </c>
      <c r="T359" t="s">
        <v>34</v>
      </c>
    </row>
    <row r="360" spans="1:20" x14ac:dyDescent="0.3">
      <c r="A360" t="s">
        <v>424</v>
      </c>
      <c r="B360" t="s">
        <v>45</v>
      </c>
      <c r="C360" t="s">
        <v>27</v>
      </c>
      <c r="D360" t="s">
        <v>63</v>
      </c>
      <c r="E360" t="s">
        <v>56</v>
      </c>
      <c r="F360">
        <v>118</v>
      </c>
      <c r="G360">
        <v>3691.45</v>
      </c>
      <c r="H360" t="s">
        <v>37</v>
      </c>
      <c r="I360" t="s">
        <v>66</v>
      </c>
      <c r="J360" s="1">
        <v>45841</v>
      </c>
      <c r="K360" s="1">
        <f>DATE(YEAR(subscriptions[[#This Row],[signup_date]]),MONTH(subscriptions[[#This Row],[signup_date]]),1)</f>
        <v>45839</v>
      </c>
      <c r="L360" t="s">
        <v>34</v>
      </c>
      <c r="M360" s="1"/>
      <c r="N360" s="1" t="str">
        <f>IF(subscriptions[[#This Row],[churn_date]]="","",DATE(YEAR(subscriptions[[#This Row],[churn_date]]),MONTH(subscriptions[[#This Row],[churn_date]]),1))</f>
        <v/>
      </c>
      <c r="O360" t="s">
        <v>38</v>
      </c>
      <c r="P360">
        <v>10</v>
      </c>
      <c r="Q360">
        <v>5</v>
      </c>
      <c r="R360">
        <v>87</v>
      </c>
      <c r="S360" t="str">
        <f t="shared" si="5"/>
        <v>Very High Usage</v>
      </c>
      <c r="T360" t="s">
        <v>34</v>
      </c>
    </row>
    <row r="361" spans="1:20" x14ac:dyDescent="0.3">
      <c r="A361" t="s">
        <v>425</v>
      </c>
      <c r="B361" t="s">
        <v>40</v>
      </c>
      <c r="C361" t="s">
        <v>36</v>
      </c>
      <c r="D361" t="s">
        <v>90</v>
      </c>
      <c r="E361" t="s">
        <v>53</v>
      </c>
      <c r="F361">
        <v>2</v>
      </c>
      <c r="G361">
        <v>28.35</v>
      </c>
      <c r="H361" t="s">
        <v>109</v>
      </c>
      <c r="I361" t="s">
        <v>48</v>
      </c>
      <c r="J361" s="1">
        <v>44780</v>
      </c>
      <c r="K361" s="1">
        <f>DATE(YEAR(subscriptions[[#This Row],[signup_date]]),MONTH(subscriptions[[#This Row],[signup_date]]),1)</f>
        <v>44774</v>
      </c>
      <c r="L361" t="s">
        <v>34</v>
      </c>
      <c r="M361" s="1"/>
      <c r="N361" s="1" t="str">
        <f>IF(subscriptions[[#This Row],[churn_date]]="","",DATE(YEAR(subscriptions[[#This Row],[churn_date]]),MONTH(subscriptions[[#This Row],[churn_date]]),1))</f>
        <v/>
      </c>
      <c r="O361" t="s">
        <v>38</v>
      </c>
      <c r="P361">
        <v>11</v>
      </c>
      <c r="Q361">
        <v>6</v>
      </c>
      <c r="R361">
        <v>20</v>
      </c>
      <c r="S361" t="str">
        <f t="shared" si="5"/>
        <v>Very Low Usage</v>
      </c>
      <c r="T361" t="s">
        <v>34</v>
      </c>
    </row>
    <row r="362" spans="1:20" x14ac:dyDescent="0.3">
      <c r="A362" t="s">
        <v>426</v>
      </c>
      <c r="B362" t="s">
        <v>26</v>
      </c>
      <c r="C362" t="s">
        <v>36</v>
      </c>
      <c r="D362" t="s">
        <v>28</v>
      </c>
      <c r="E362" t="s">
        <v>53</v>
      </c>
      <c r="F362">
        <v>7</v>
      </c>
      <c r="G362">
        <v>127.59</v>
      </c>
      <c r="H362" t="s">
        <v>71</v>
      </c>
      <c r="I362" t="s">
        <v>48</v>
      </c>
      <c r="J362" s="1">
        <v>45451</v>
      </c>
      <c r="K362" s="1">
        <f>DATE(YEAR(subscriptions[[#This Row],[signup_date]]),MONTH(subscriptions[[#This Row],[signup_date]]),1)</f>
        <v>45444</v>
      </c>
      <c r="L362" t="s">
        <v>34</v>
      </c>
      <c r="M362" s="1"/>
      <c r="N362" s="1" t="str">
        <f>IF(subscriptions[[#This Row],[churn_date]]="","",DATE(YEAR(subscriptions[[#This Row],[churn_date]]),MONTH(subscriptions[[#This Row],[churn_date]]),1))</f>
        <v/>
      </c>
      <c r="O362" t="s">
        <v>38</v>
      </c>
      <c r="P362">
        <v>12</v>
      </c>
      <c r="Q362">
        <v>7</v>
      </c>
      <c r="R362">
        <v>31</v>
      </c>
      <c r="S362" t="str">
        <f t="shared" si="5"/>
        <v>Moderate Usage</v>
      </c>
      <c r="T362" t="s">
        <v>34</v>
      </c>
    </row>
    <row r="363" spans="1:20" x14ac:dyDescent="0.3">
      <c r="A363" t="s">
        <v>427</v>
      </c>
      <c r="B363" t="s">
        <v>82</v>
      </c>
      <c r="C363" t="s">
        <v>27</v>
      </c>
      <c r="D363" t="s">
        <v>63</v>
      </c>
      <c r="E363" t="s">
        <v>29</v>
      </c>
      <c r="F363">
        <v>59</v>
      </c>
      <c r="G363">
        <v>4840.3</v>
      </c>
      <c r="H363" t="s">
        <v>30</v>
      </c>
      <c r="I363" t="s">
        <v>31</v>
      </c>
      <c r="J363" s="1">
        <v>45190</v>
      </c>
      <c r="K363" s="1">
        <f>DATE(YEAR(subscriptions[[#This Row],[signup_date]]),MONTH(subscriptions[[#This Row],[signup_date]]),1)</f>
        <v>45170</v>
      </c>
      <c r="L363" t="s">
        <v>34</v>
      </c>
      <c r="M363" s="1"/>
      <c r="N363" s="1" t="str">
        <f>IF(subscriptions[[#This Row],[churn_date]]="","",DATE(YEAR(subscriptions[[#This Row],[churn_date]]),MONTH(subscriptions[[#This Row],[churn_date]]),1))</f>
        <v/>
      </c>
      <c r="O363" t="s">
        <v>38</v>
      </c>
      <c r="P363">
        <v>0</v>
      </c>
      <c r="Q363">
        <v>3</v>
      </c>
      <c r="R363">
        <v>90</v>
      </c>
      <c r="S363" t="str">
        <f t="shared" si="5"/>
        <v>Very High Usage</v>
      </c>
      <c r="T363" t="s">
        <v>34</v>
      </c>
    </row>
    <row r="364" spans="1:20" x14ac:dyDescent="0.3">
      <c r="A364" t="s">
        <v>428</v>
      </c>
      <c r="B364" t="s">
        <v>82</v>
      </c>
      <c r="C364" t="s">
        <v>27</v>
      </c>
      <c r="D364" t="s">
        <v>52</v>
      </c>
      <c r="E364" t="s">
        <v>53</v>
      </c>
      <c r="F364">
        <v>7</v>
      </c>
      <c r="G364">
        <v>948.1</v>
      </c>
      <c r="H364" t="s">
        <v>109</v>
      </c>
      <c r="I364" t="s">
        <v>31</v>
      </c>
      <c r="J364" s="1">
        <v>45357</v>
      </c>
      <c r="K364" s="1">
        <f>DATE(YEAR(subscriptions[[#This Row],[signup_date]]),MONTH(subscriptions[[#This Row],[signup_date]]),1)</f>
        <v>45352</v>
      </c>
      <c r="L364" t="s">
        <v>34</v>
      </c>
      <c r="M364" s="1"/>
      <c r="N364" s="1" t="str">
        <f>IF(subscriptions[[#This Row],[churn_date]]="","",DATE(YEAR(subscriptions[[#This Row],[churn_date]]),MONTH(subscriptions[[#This Row],[churn_date]]),1))</f>
        <v/>
      </c>
      <c r="O364" t="s">
        <v>38</v>
      </c>
      <c r="P364">
        <v>2</v>
      </c>
      <c r="Q364">
        <v>6</v>
      </c>
      <c r="R364">
        <v>41</v>
      </c>
      <c r="S364" t="str">
        <f t="shared" si="5"/>
        <v>Moderate Usage</v>
      </c>
      <c r="T364" t="s">
        <v>34</v>
      </c>
    </row>
    <row r="365" spans="1:20" x14ac:dyDescent="0.3">
      <c r="A365" t="s">
        <v>429</v>
      </c>
      <c r="B365" t="s">
        <v>45</v>
      </c>
      <c r="C365" t="s">
        <v>27</v>
      </c>
      <c r="D365" t="s">
        <v>79</v>
      </c>
      <c r="E365" t="s">
        <v>47</v>
      </c>
      <c r="F365">
        <v>17</v>
      </c>
      <c r="G365">
        <v>676.6</v>
      </c>
      <c r="H365" t="s">
        <v>43</v>
      </c>
      <c r="I365" t="s">
        <v>31</v>
      </c>
      <c r="J365" s="1">
        <v>44656</v>
      </c>
      <c r="K365" s="1">
        <f>DATE(YEAR(subscriptions[[#This Row],[signup_date]]),MONTH(subscriptions[[#This Row],[signup_date]]),1)</f>
        <v>44652</v>
      </c>
      <c r="L365" t="s">
        <v>32</v>
      </c>
      <c r="M365" s="1">
        <v>45920</v>
      </c>
      <c r="N365" s="1">
        <f>IF(subscriptions[[#This Row],[churn_date]]="","",DATE(YEAR(subscriptions[[#This Row],[churn_date]]),MONTH(subscriptions[[#This Row],[churn_date]]),1))</f>
        <v>45901</v>
      </c>
      <c r="O365" t="s">
        <v>33</v>
      </c>
      <c r="P365">
        <v>7</v>
      </c>
      <c r="Q365">
        <v>4</v>
      </c>
      <c r="R365">
        <v>13</v>
      </c>
      <c r="S365" t="str">
        <f t="shared" si="5"/>
        <v>Very Low Usage</v>
      </c>
      <c r="T365" t="s">
        <v>34</v>
      </c>
    </row>
    <row r="366" spans="1:20" x14ac:dyDescent="0.3">
      <c r="A366" t="s">
        <v>430</v>
      </c>
      <c r="B366" t="s">
        <v>40</v>
      </c>
      <c r="C366" t="s">
        <v>27</v>
      </c>
      <c r="D366" t="s">
        <v>90</v>
      </c>
      <c r="E366" t="s">
        <v>47</v>
      </c>
      <c r="F366">
        <v>14</v>
      </c>
      <c r="G366">
        <v>85.55</v>
      </c>
      <c r="H366" t="s">
        <v>43</v>
      </c>
      <c r="I366" t="s">
        <v>80</v>
      </c>
      <c r="J366" s="1">
        <v>45362</v>
      </c>
      <c r="K366" s="1">
        <f>DATE(YEAR(subscriptions[[#This Row],[signup_date]]),MONTH(subscriptions[[#This Row],[signup_date]]),1)</f>
        <v>45352</v>
      </c>
      <c r="L366" t="s">
        <v>32</v>
      </c>
      <c r="M366" s="1">
        <v>45450</v>
      </c>
      <c r="N366" s="1">
        <f>IF(subscriptions[[#This Row],[churn_date]]="","",DATE(YEAR(subscriptions[[#This Row],[churn_date]]),MONTH(subscriptions[[#This Row],[churn_date]]),1))</f>
        <v>45444</v>
      </c>
      <c r="O366" t="s">
        <v>61</v>
      </c>
      <c r="P366">
        <v>9</v>
      </c>
      <c r="Q366">
        <v>2</v>
      </c>
      <c r="R366">
        <v>14</v>
      </c>
      <c r="S366" t="str">
        <f t="shared" si="5"/>
        <v>Very Low Usage</v>
      </c>
      <c r="T366" t="s">
        <v>34</v>
      </c>
    </row>
    <row r="367" spans="1:20" x14ac:dyDescent="0.3">
      <c r="A367" t="s">
        <v>431</v>
      </c>
      <c r="B367" t="s">
        <v>26</v>
      </c>
      <c r="C367" t="s">
        <v>27</v>
      </c>
      <c r="D367" t="s">
        <v>73</v>
      </c>
      <c r="E367" t="s">
        <v>29</v>
      </c>
      <c r="F367">
        <v>52</v>
      </c>
      <c r="G367">
        <v>683.35</v>
      </c>
      <c r="H367" t="s">
        <v>71</v>
      </c>
      <c r="I367" t="s">
        <v>31</v>
      </c>
      <c r="J367" s="1">
        <v>45928</v>
      </c>
      <c r="K367" s="1">
        <f>DATE(YEAR(subscriptions[[#This Row],[signup_date]]),MONTH(subscriptions[[#This Row],[signup_date]]),1)</f>
        <v>45901</v>
      </c>
      <c r="L367" t="s">
        <v>34</v>
      </c>
      <c r="M367" s="1"/>
      <c r="N367" s="1" t="str">
        <f>IF(subscriptions[[#This Row],[churn_date]]="","",DATE(YEAR(subscriptions[[#This Row],[churn_date]]),MONTH(subscriptions[[#This Row],[churn_date]]),1))</f>
        <v/>
      </c>
      <c r="O367" t="s">
        <v>38</v>
      </c>
      <c r="P367">
        <v>11</v>
      </c>
      <c r="Q367">
        <v>8</v>
      </c>
      <c r="R367">
        <v>17</v>
      </c>
      <c r="S367" t="str">
        <f t="shared" si="5"/>
        <v>Very Low Usage</v>
      </c>
      <c r="T367" t="s">
        <v>34</v>
      </c>
    </row>
    <row r="368" spans="1:20" x14ac:dyDescent="0.3">
      <c r="A368" t="s">
        <v>432</v>
      </c>
      <c r="B368" t="s">
        <v>40</v>
      </c>
      <c r="C368" t="s">
        <v>36</v>
      </c>
      <c r="D368" t="s">
        <v>90</v>
      </c>
      <c r="E368" t="s">
        <v>53</v>
      </c>
      <c r="F368">
        <v>5</v>
      </c>
      <c r="G368">
        <v>39.44</v>
      </c>
      <c r="H368" t="s">
        <v>54</v>
      </c>
      <c r="I368" t="s">
        <v>31</v>
      </c>
      <c r="J368" s="1">
        <v>45136</v>
      </c>
      <c r="K368" s="1">
        <f>DATE(YEAR(subscriptions[[#This Row],[signup_date]]),MONTH(subscriptions[[#This Row],[signup_date]]),1)</f>
        <v>45108</v>
      </c>
      <c r="L368" t="s">
        <v>34</v>
      </c>
      <c r="M368" s="1"/>
      <c r="N368" s="1" t="str">
        <f>IF(subscriptions[[#This Row],[churn_date]]="","",DATE(YEAR(subscriptions[[#This Row],[churn_date]]),MONTH(subscriptions[[#This Row],[churn_date]]),1))</f>
        <v/>
      </c>
      <c r="O368" t="s">
        <v>38</v>
      </c>
      <c r="P368">
        <v>1</v>
      </c>
      <c r="Q368">
        <v>3</v>
      </c>
      <c r="R368">
        <v>80</v>
      </c>
      <c r="S368" t="str">
        <f t="shared" si="5"/>
        <v>High Usage</v>
      </c>
      <c r="T368" t="s">
        <v>34</v>
      </c>
    </row>
    <row r="369" spans="1:20" x14ac:dyDescent="0.3">
      <c r="A369" t="s">
        <v>433</v>
      </c>
      <c r="B369" t="s">
        <v>26</v>
      </c>
      <c r="C369" t="s">
        <v>36</v>
      </c>
      <c r="D369" t="s">
        <v>60</v>
      </c>
      <c r="E369" t="s">
        <v>47</v>
      </c>
      <c r="F369">
        <v>25</v>
      </c>
      <c r="G369">
        <v>308.89</v>
      </c>
      <c r="H369" t="s">
        <v>43</v>
      </c>
      <c r="I369" t="s">
        <v>31</v>
      </c>
      <c r="J369" s="1">
        <v>45429</v>
      </c>
      <c r="K369" s="1">
        <f>DATE(YEAR(subscriptions[[#This Row],[signup_date]]),MONTH(subscriptions[[#This Row],[signup_date]]),1)</f>
        <v>45413</v>
      </c>
      <c r="L369" t="s">
        <v>34</v>
      </c>
      <c r="M369" s="1"/>
      <c r="N369" s="1" t="str">
        <f>IF(subscriptions[[#This Row],[churn_date]]="","",DATE(YEAR(subscriptions[[#This Row],[churn_date]]),MONTH(subscriptions[[#This Row],[churn_date]]),1))</f>
        <v/>
      </c>
      <c r="O369" t="s">
        <v>38</v>
      </c>
      <c r="P369">
        <v>3</v>
      </c>
      <c r="Q369">
        <v>6</v>
      </c>
      <c r="R369">
        <v>92</v>
      </c>
      <c r="S369" t="str">
        <f t="shared" si="5"/>
        <v>Very High Usage</v>
      </c>
      <c r="T369" t="s">
        <v>34</v>
      </c>
    </row>
    <row r="370" spans="1:20" x14ac:dyDescent="0.3">
      <c r="A370" t="s">
        <v>434</v>
      </c>
      <c r="B370" t="s">
        <v>82</v>
      </c>
      <c r="C370" t="s">
        <v>27</v>
      </c>
      <c r="D370" t="s">
        <v>28</v>
      </c>
      <c r="E370" t="s">
        <v>47</v>
      </c>
      <c r="F370">
        <v>25</v>
      </c>
      <c r="G370">
        <v>2295.4</v>
      </c>
      <c r="H370" t="s">
        <v>37</v>
      </c>
      <c r="I370" t="s">
        <v>31</v>
      </c>
      <c r="J370" s="1">
        <v>45725</v>
      </c>
      <c r="K370" s="1">
        <f>DATE(YEAR(subscriptions[[#This Row],[signup_date]]),MONTH(subscriptions[[#This Row],[signup_date]]),1)</f>
        <v>45717</v>
      </c>
      <c r="L370" t="s">
        <v>32</v>
      </c>
      <c r="M370" s="1">
        <v>45775</v>
      </c>
      <c r="N370" s="1">
        <f>IF(subscriptions[[#This Row],[churn_date]]="","",DATE(YEAR(subscriptions[[#This Row],[churn_date]]),MONTH(subscriptions[[#This Row],[churn_date]]),1))</f>
        <v>45748</v>
      </c>
      <c r="O370" t="s">
        <v>61</v>
      </c>
      <c r="P370">
        <v>9</v>
      </c>
      <c r="Q370">
        <v>6</v>
      </c>
      <c r="R370">
        <v>37</v>
      </c>
      <c r="S370" t="str">
        <f t="shared" si="5"/>
        <v>Moderate Usage</v>
      </c>
      <c r="T370" t="s">
        <v>34</v>
      </c>
    </row>
    <row r="371" spans="1:20" x14ac:dyDescent="0.3">
      <c r="A371" t="s">
        <v>435</v>
      </c>
      <c r="B371" t="s">
        <v>40</v>
      </c>
      <c r="C371" t="s">
        <v>27</v>
      </c>
      <c r="D371" t="s">
        <v>46</v>
      </c>
      <c r="E371" t="s">
        <v>56</v>
      </c>
      <c r="F371">
        <v>117</v>
      </c>
      <c r="G371">
        <v>533.6</v>
      </c>
      <c r="H371" t="s">
        <v>30</v>
      </c>
      <c r="I371" t="s">
        <v>31</v>
      </c>
      <c r="J371" s="1">
        <v>45492</v>
      </c>
      <c r="K371" s="1">
        <f>DATE(YEAR(subscriptions[[#This Row],[signup_date]]),MONTH(subscriptions[[#This Row],[signup_date]]),1)</f>
        <v>45474</v>
      </c>
      <c r="L371" t="s">
        <v>32</v>
      </c>
      <c r="M371" s="1">
        <v>45775</v>
      </c>
      <c r="N371" s="1">
        <f>IF(subscriptions[[#This Row],[churn_date]]="","",DATE(YEAR(subscriptions[[#This Row],[churn_date]]),MONTH(subscriptions[[#This Row],[churn_date]]),1))</f>
        <v>45748</v>
      </c>
      <c r="O371" t="s">
        <v>33</v>
      </c>
      <c r="P371">
        <v>8</v>
      </c>
      <c r="Q371">
        <v>6</v>
      </c>
      <c r="R371">
        <v>10</v>
      </c>
      <c r="S371" t="str">
        <f t="shared" si="5"/>
        <v>Very Low Usage</v>
      </c>
      <c r="T371" t="s">
        <v>34</v>
      </c>
    </row>
    <row r="372" spans="1:20" x14ac:dyDescent="0.3">
      <c r="A372" t="s">
        <v>436</v>
      </c>
      <c r="B372" t="s">
        <v>40</v>
      </c>
      <c r="C372" t="s">
        <v>27</v>
      </c>
      <c r="D372" t="s">
        <v>90</v>
      </c>
      <c r="E372" t="s">
        <v>29</v>
      </c>
      <c r="F372">
        <v>39</v>
      </c>
      <c r="G372">
        <v>194.3</v>
      </c>
      <c r="H372" t="s">
        <v>54</v>
      </c>
      <c r="I372" t="s">
        <v>80</v>
      </c>
      <c r="J372" s="1">
        <v>45352</v>
      </c>
      <c r="K372" s="1">
        <f>DATE(YEAR(subscriptions[[#This Row],[signup_date]]),MONTH(subscriptions[[#This Row],[signup_date]]),1)</f>
        <v>45352</v>
      </c>
      <c r="L372" t="s">
        <v>32</v>
      </c>
      <c r="M372" s="1">
        <v>45399</v>
      </c>
      <c r="N372" s="1">
        <f>IF(subscriptions[[#This Row],[churn_date]]="","",DATE(YEAR(subscriptions[[#This Row],[churn_date]]),MONTH(subscriptions[[#This Row],[churn_date]]),1))</f>
        <v>45383</v>
      </c>
      <c r="O372" t="s">
        <v>33</v>
      </c>
      <c r="P372">
        <v>13</v>
      </c>
      <c r="Q372">
        <v>1</v>
      </c>
      <c r="R372">
        <v>22</v>
      </c>
      <c r="S372" t="str">
        <f t="shared" si="5"/>
        <v>Moderate Usage</v>
      </c>
      <c r="T372" t="s">
        <v>34</v>
      </c>
    </row>
    <row r="373" spans="1:20" x14ac:dyDescent="0.3">
      <c r="A373" t="s">
        <v>437</v>
      </c>
      <c r="B373" t="s">
        <v>45</v>
      </c>
      <c r="C373" t="s">
        <v>27</v>
      </c>
      <c r="D373" t="s">
        <v>79</v>
      </c>
      <c r="E373" t="s">
        <v>47</v>
      </c>
      <c r="F373">
        <v>29</v>
      </c>
      <c r="G373">
        <v>1034.8</v>
      </c>
      <c r="H373" t="s">
        <v>71</v>
      </c>
      <c r="I373" t="s">
        <v>66</v>
      </c>
      <c r="J373" s="1">
        <v>44967</v>
      </c>
      <c r="K373" s="1">
        <f>DATE(YEAR(subscriptions[[#This Row],[signup_date]]),MONTH(subscriptions[[#This Row],[signup_date]]),1)</f>
        <v>44958</v>
      </c>
      <c r="L373" t="s">
        <v>32</v>
      </c>
      <c r="M373" s="1">
        <v>45944</v>
      </c>
      <c r="N373" s="1">
        <f>IF(subscriptions[[#This Row],[churn_date]]="","",DATE(YEAR(subscriptions[[#This Row],[churn_date]]),MONTH(subscriptions[[#This Row],[churn_date]]),1))</f>
        <v>45931</v>
      </c>
      <c r="O373" t="s">
        <v>67</v>
      </c>
      <c r="P373">
        <v>12</v>
      </c>
      <c r="Q373">
        <v>1</v>
      </c>
      <c r="R373">
        <v>34</v>
      </c>
      <c r="S373" t="str">
        <f t="shared" si="5"/>
        <v>Moderate Usage</v>
      </c>
      <c r="T373" t="s">
        <v>34</v>
      </c>
    </row>
    <row r="374" spans="1:20" x14ac:dyDescent="0.3">
      <c r="A374" t="s">
        <v>438</v>
      </c>
      <c r="B374" t="s">
        <v>45</v>
      </c>
      <c r="C374" t="s">
        <v>27</v>
      </c>
      <c r="D374" t="s">
        <v>41</v>
      </c>
      <c r="E374" t="s">
        <v>53</v>
      </c>
      <c r="F374">
        <v>4</v>
      </c>
      <c r="G374">
        <v>288.55</v>
      </c>
      <c r="H374" t="s">
        <v>43</v>
      </c>
      <c r="I374" t="s">
        <v>48</v>
      </c>
      <c r="J374" s="1">
        <v>45959</v>
      </c>
      <c r="K374" s="1">
        <f>DATE(YEAR(subscriptions[[#This Row],[signup_date]]),MONTH(subscriptions[[#This Row],[signup_date]]),1)</f>
        <v>45931</v>
      </c>
      <c r="L374" t="s">
        <v>34</v>
      </c>
      <c r="M374" s="1"/>
      <c r="N374" s="1" t="str">
        <f>IF(subscriptions[[#This Row],[churn_date]]="","",DATE(YEAR(subscriptions[[#This Row],[churn_date]]),MONTH(subscriptions[[#This Row],[churn_date]]),1))</f>
        <v/>
      </c>
      <c r="O374" t="s">
        <v>38</v>
      </c>
      <c r="P374">
        <v>6</v>
      </c>
      <c r="Q374">
        <v>2</v>
      </c>
      <c r="R374">
        <v>63</v>
      </c>
      <c r="S374" t="str">
        <f t="shared" si="5"/>
        <v>High Usage</v>
      </c>
      <c r="T374" t="s">
        <v>34</v>
      </c>
    </row>
    <row r="375" spans="1:20" x14ac:dyDescent="0.3">
      <c r="A375" t="s">
        <v>439</v>
      </c>
      <c r="B375" t="s">
        <v>40</v>
      </c>
      <c r="C375" t="s">
        <v>27</v>
      </c>
      <c r="D375" t="s">
        <v>46</v>
      </c>
      <c r="E375" t="s">
        <v>56</v>
      </c>
      <c r="F375">
        <v>139</v>
      </c>
      <c r="G375">
        <v>629.29999999999995</v>
      </c>
      <c r="H375" t="s">
        <v>71</v>
      </c>
      <c r="I375" t="s">
        <v>66</v>
      </c>
      <c r="J375" s="1">
        <v>44569</v>
      </c>
      <c r="K375" s="1">
        <f>DATE(YEAR(subscriptions[[#This Row],[signup_date]]),MONTH(subscriptions[[#This Row],[signup_date]]),1)</f>
        <v>44562</v>
      </c>
      <c r="L375" t="s">
        <v>32</v>
      </c>
      <c r="M375" s="1">
        <v>44659</v>
      </c>
      <c r="N375" s="1">
        <f>IF(subscriptions[[#This Row],[churn_date]]="","",DATE(YEAR(subscriptions[[#This Row],[churn_date]]),MONTH(subscriptions[[#This Row],[churn_date]]),1))</f>
        <v>44652</v>
      </c>
      <c r="O375" t="s">
        <v>93</v>
      </c>
      <c r="P375">
        <v>10</v>
      </c>
      <c r="Q375">
        <v>6</v>
      </c>
      <c r="R375">
        <v>20</v>
      </c>
      <c r="S375" t="str">
        <f t="shared" si="5"/>
        <v>Very Low Usage</v>
      </c>
      <c r="T375" t="s">
        <v>34</v>
      </c>
    </row>
    <row r="376" spans="1:20" x14ac:dyDescent="0.3">
      <c r="A376" t="s">
        <v>440</v>
      </c>
      <c r="B376" t="s">
        <v>40</v>
      </c>
      <c r="C376" t="s">
        <v>36</v>
      </c>
      <c r="D376" t="s">
        <v>79</v>
      </c>
      <c r="E376" t="s">
        <v>47</v>
      </c>
      <c r="F376">
        <v>16</v>
      </c>
      <c r="G376">
        <v>80.11</v>
      </c>
      <c r="H376" t="s">
        <v>30</v>
      </c>
      <c r="I376" t="s">
        <v>48</v>
      </c>
      <c r="J376" s="1">
        <v>44693</v>
      </c>
      <c r="K376" s="1">
        <f>DATE(YEAR(subscriptions[[#This Row],[signup_date]]),MONTH(subscriptions[[#This Row],[signup_date]]),1)</f>
        <v>44682</v>
      </c>
      <c r="L376" t="s">
        <v>32</v>
      </c>
      <c r="M376" s="1">
        <v>44931</v>
      </c>
      <c r="N376" s="1">
        <f>IF(subscriptions[[#This Row],[churn_date]]="","",DATE(YEAR(subscriptions[[#This Row],[churn_date]]),MONTH(subscriptions[[#This Row],[churn_date]]),1))</f>
        <v>44927</v>
      </c>
      <c r="O376" t="s">
        <v>93</v>
      </c>
      <c r="P376">
        <v>7</v>
      </c>
      <c r="Q376">
        <v>5</v>
      </c>
      <c r="R376">
        <v>18</v>
      </c>
      <c r="S376" t="str">
        <f t="shared" si="5"/>
        <v>Very Low Usage</v>
      </c>
      <c r="T376" t="s">
        <v>34</v>
      </c>
    </row>
    <row r="377" spans="1:20" x14ac:dyDescent="0.3">
      <c r="A377" t="s">
        <v>441</v>
      </c>
      <c r="B377" t="s">
        <v>82</v>
      </c>
      <c r="C377" t="s">
        <v>36</v>
      </c>
      <c r="D377" t="s">
        <v>63</v>
      </c>
      <c r="E377" t="s">
        <v>29</v>
      </c>
      <c r="F377">
        <v>46</v>
      </c>
      <c r="G377">
        <v>3287.16</v>
      </c>
      <c r="H377" t="s">
        <v>43</v>
      </c>
      <c r="I377" t="s">
        <v>31</v>
      </c>
      <c r="J377" s="1">
        <v>44994</v>
      </c>
      <c r="K377" s="1">
        <f>DATE(YEAR(subscriptions[[#This Row],[signup_date]]),MONTH(subscriptions[[#This Row],[signup_date]]),1)</f>
        <v>44986</v>
      </c>
      <c r="L377" t="s">
        <v>32</v>
      </c>
      <c r="M377" s="1">
        <v>45459</v>
      </c>
      <c r="N377" s="1">
        <f>IF(subscriptions[[#This Row],[churn_date]]="","",DATE(YEAR(subscriptions[[#This Row],[churn_date]]),MONTH(subscriptions[[#This Row],[churn_date]]),1))</f>
        <v>45444</v>
      </c>
      <c r="O377" t="s">
        <v>74</v>
      </c>
      <c r="P377">
        <v>12</v>
      </c>
      <c r="Q377">
        <v>5</v>
      </c>
      <c r="R377">
        <v>27</v>
      </c>
      <c r="S377" t="str">
        <f t="shared" si="5"/>
        <v>Moderate Usage</v>
      </c>
      <c r="T377" t="s">
        <v>34</v>
      </c>
    </row>
    <row r="378" spans="1:20" x14ac:dyDescent="0.3">
      <c r="A378" t="s">
        <v>442</v>
      </c>
      <c r="B378" t="s">
        <v>40</v>
      </c>
      <c r="C378" t="s">
        <v>27</v>
      </c>
      <c r="D378" t="s">
        <v>79</v>
      </c>
      <c r="E378" t="s">
        <v>47</v>
      </c>
      <c r="F378">
        <v>26</v>
      </c>
      <c r="G378">
        <v>137.75</v>
      </c>
      <c r="H378" t="s">
        <v>30</v>
      </c>
      <c r="I378" t="s">
        <v>80</v>
      </c>
      <c r="J378" s="1">
        <v>45191</v>
      </c>
      <c r="K378" s="1">
        <f>DATE(YEAR(subscriptions[[#This Row],[signup_date]]),MONTH(subscriptions[[#This Row],[signup_date]]),1)</f>
        <v>45170</v>
      </c>
      <c r="L378" t="s">
        <v>32</v>
      </c>
      <c r="M378" s="1">
        <v>45269</v>
      </c>
      <c r="N378" s="1">
        <f>IF(subscriptions[[#This Row],[churn_date]]="","",DATE(YEAR(subscriptions[[#This Row],[churn_date]]),MONTH(subscriptions[[#This Row],[churn_date]]),1))</f>
        <v>45261</v>
      </c>
      <c r="O378" t="s">
        <v>57</v>
      </c>
      <c r="P378">
        <v>12</v>
      </c>
      <c r="Q378">
        <v>1</v>
      </c>
      <c r="R378">
        <v>33</v>
      </c>
      <c r="S378" t="str">
        <f t="shared" si="5"/>
        <v>Moderate Usage</v>
      </c>
      <c r="T378" t="s">
        <v>34</v>
      </c>
    </row>
    <row r="379" spans="1:20" x14ac:dyDescent="0.3">
      <c r="A379" t="s">
        <v>443</v>
      </c>
      <c r="B379" t="s">
        <v>45</v>
      </c>
      <c r="C379" t="s">
        <v>27</v>
      </c>
      <c r="D379" t="s">
        <v>50</v>
      </c>
      <c r="E379" t="s">
        <v>47</v>
      </c>
      <c r="F379">
        <v>5</v>
      </c>
      <c r="G379">
        <v>318.39999999999998</v>
      </c>
      <c r="H379" t="s">
        <v>30</v>
      </c>
      <c r="I379" t="s">
        <v>66</v>
      </c>
      <c r="J379" s="1">
        <v>44692</v>
      </c>
      <c r="K379" s="1">
        <f>DATE(YEAR(subscriptions[[#This Row],[signup_date]]),MONTH(subscriptions[[#This Row],[signup_date]]),1)</f>
        <v>44682</v>
      </c>
      <c r="L379" t="s">
        <v>32</v>
      </c>
      <c r="M379" s="1">
        <v>45237</v>
      </c>
      <c r="N379" s="1">
        <f>IF(subscriptions[[#This Row],[churn_date]]="","",DATE(YEAR(subscriptions[[#This Row],[churn_date]]),MONTH(subscriptions[[#This Row],[churn_date]]),1))</f>
        <v>45231</v>
      </c>
      <c r="O379" t="s">
        <v>57</v>
      </c>
      <c r="P379">
        <v>10</v>
      </c>
      <c r="Q379">
        <v>6</v>
      </c>
      <c r="R379">
        <v>31</v>
      </c>
      <c r="S379" t="str">
        <f t="shared" si="5"/>
        <v>Moderate Usage</v>
      </c>
      <c r="T379" t="s">
        <v>34</v>
      </c>
    </row>
    <row r="380" spans="1:20" x14ac:dyDescent="0.3">
      <c r="A380" t="s">
        <v>444</v>
      </c>
      <c r="B380" t="s">
        <v>40</v>
      </c>
      <c r="C380" t="s">
        <v>36</v>
      </c>
      <c r="D380" t="s">
        <v>52</v>
      </c>
      <c r="E380" t="s">
        <v>56</v>
      </c>
      <c r="F380">
        <v>62</v>
      </c>
      <c r="G380">
        <v>250.2</v>
      </c>
      <c r="H380" t="s">
        <v>109</v>
      </c>
      <c r="I380" t="s">
        <v>66</v>
      </c>
      <c r="J380" s="1">
        <v>45129</v>
      </c>
      <c r="K380" s="1">
        <f>DATE(YEAR(subscriptions[[#This Row],[signup_date]]),MONTH(subscriptions[[#This Row],[signup_date]]),1)</f>
        <v>45108</v>
      </c>
      <c r="L380" t="s">
        <v>32</v>
      </c>
      <c r="M380" s="1">
        <v>45162</v>
      </c>
      <c r="N380" s="1">
        <f>IF(subscriptions[[#This Row],[churn_date]]="","",DATE(YEAR(subscriptions[[#This Row],[churn_date]]),MONTH(subscriptions[[#This Row],[churn_date]]),1))</f>
        <v>45139</v>
      </c>
      <c r="O380" t="s">
        <v>93</v>
      </c>
      <c r="P380">
        <v>13</v>
      </c>
      <c r="Q380">
        <v>6</v>
      </c>
      <c r="R380">
        <v>10</v>
      </c>
      <c r="S380" t="str">
        <f t="shared" si="5"/>
        <v>Very Low Usage</v>
      </c>
      <c r="T380" t="s">
        <v>34</v>
      </c>
    </row>
    <row r="381" spans="1:20" x14ac:dyDescent="0.3">
      <c r="A381" t="s">
        <v>445</v>
      </c>
      <c r="B381" t="s">
        <v>45</v>
      </c>
      <c r="C381" t="s">
        <v>36</v>
      </c>
      <c r="D381" t="s">
        <v>50</v>
      </c>
      <c r="E381" t="s">
        <v>56</v>
      </c>
      <c r="F381">
        <v>150</v>
      </c>
      <c r="G381">
        <v>3949.65</v>
      </c>
      <c r="H381" t="s">
        <v>30</v>
      </c>
      <c r="I381" t="s">
        <v>31</v>
      </c>
      <c r="J381" s="1">
        <v>45389</v>
      </c>
      <c r="K381" s="1">
        <f>DATE(YEAR(subscriptions[[#This Row],[signup_date]]),MONTH(subscriptions[[#This Row],[signup_date]]),1)</f>
        <v>45383</v>
      </c>
      <c r="L381" t="s">
        <v>34</v>
      </c>
      <c r="M381" s="1"/>
      <c r="N381" s="1" t="str">
        <f>IF(subscriptions[[#This Row],[churn_date]]="","",DATE(YEAR(subscriptions[[#This Row],[churn_date]]),MONTH(subscriptions[[#This Row],[churn_date]]),1))</f>
        <v/>
      </c>
      <c r="O381" t="s">
        <v>38</v>
      </c>
      <c r="P381">
        <v>7</v>
      </c>
      <c r="Q381">
        <v>9</v>
      </c>
      <c r="R381">
        <v>67</v>
      </c>
      <c r="S381" t="str">
        <f t="shared" si="5"/>
        <v>High Usage</v>
      </c>
      <c r="T381" t="s">
        <v>34</v>
      </c>
    </row>
    <row r="382" spans="1:20" x14ac:dyDescent="0.3">
      <c r="A382" t="s">
        <v>446</v>
      </c>
      <c r="B382" t="s">
        <v>40</v>
      </c>
      <c r="C382" t="s">
        <v>36</v>
      </c>
      <c r="D382" t="s">
        <v>46</v>
      </c>
      <c r="E382" t="s">
        <v>56</v>
      </c>
      <c r="F382">
        <v>126</v>
      </c>
      <c r="G382">
        <v>486.84</v>
      </c>
      <c r="H382" t="s">
        <v>37</v>
      </c>
      <c r="I382" t="s">
        <v>66</v>
      </c>
      <c r="J382" s="1">
        <v>44799</v>
      </c>
      <c r="K382" s="1">
        <f>DATE(YEAR(subscriptions[[#This Row],[signup_date]]),MONTH(subscriptions[[#This Row],[signup_date]]),1)</f>
        <v>44774</v>
      </c>
      <c r="L382" t="s">
        <v>34</v>
      </c>
      <c r="M382" s="1"/>
      <c r="N382" s="1" t="str">
        <f>IF(subscriptions[[#This Row],[churn_date]]="","",DATE(YEAR(subscriptions[[#This Row],[churn_date]]),MONTH(subscriptions[[#This Row],[churn_date]]),1))</f>
        <v/>
      </c>
      <c r="O382" t="s">
        <v>38</v>
      </c>
      <c r="P382">
        <v>11</v>
      </c>
      <c r="Q382">
        <v>5</v>
      </c>
      <c r="R382">
        <v>74</v>
      </c>
      <c r="S382" t="str">
        <f t="shared" si="5"/>
        <v>High Usage</v>
      </c>
      <c r="T382" t="s">
        <v>34</v>
      </c>
    </row>
    <row r="383" spans="1:20" x14ac:dyDescent="0.3">
      <c r="A383" t="s">
        <v>447</v>
      </c>
      <c r="B383" t="s">
        <v>40</v>
      </c>
      <c r="C383" t="s">
        <v>27</v>
      </c>
      <c r="D383" t="s">
        <v>28</v>
      </c>
      <c r="E383" t="s">
        <v>47</v>
      </c>
      <c r="F383">
        <v>24</v>
      </c>
      <c r="G383">
        <v>129.05000000000001</v>
      </c>
      <c r="H383" t="s">
        <v>30</v>
      </c>
      <c r="I383" t="s">
        <v>31</v>
      </c>
      <c r="J383" s="1">
        <v>44940</v>
      </c>
      <c r="K383" s="1">
        <f>DATE(YEAR(subscriptions[[#This Row],[signup_date]]),MONTH(subscriptions[[#This Row],[signup_date]]),1)</f>
        <v>44927</v>
      </c>
      <c r="L383" t="s">
        <v>32</v>
      </c>
      <c r="M383" s="1">
        <v>45922</v>
      </c>
      <c r="N383" s="1">
        <f>IF(subscriptions[[#This Row],[churn_date]]="","",DATE(YEAR(subscriptions[[#This Row],[churn_date]]),MONTH(subscriptions[[#This Row],[churn_date]]),1))</f>
        <v>45901</v>
      </c>
      <c r="O383" t="s">
        <v>33</v>
      </c>
      <c r="P383">
        <v>11</v>
      </c>
      <c r="Q383">
        <v>1</v>
      </c>
      <c r="R383">
        <v>16</v>
      </c>
      <c r="S383" t="str">
        <f t="shared" si="5"/>
        <v>Very Low Usage</v>
      </c>
      <c r="T383" t="s">
        <v>34</v>
      </c>
    </row>
    <row r="384" spans="1:20" x14ac:dyDescent="0.3">
      <c r="A384" t="s">
        <v>448</v>
      </c>
      <c r="B384" t="s">
        <v>26</v>
      </c>
      <c r="C384" t="s">
        <v>36</v>
      </c>
      <c r="D384" t="s">
        <v>52</v>
      </c>
      <c r="E384" t="s">
        <v>53</v>
      </c>
      <c r="F384">
        <v>4</v>
      </c>
      <c r="G384">
        <v>97.37</v>
      </c>
      <c r="H384" t="s">
        <v>54</v>
      </c>
      <c r="I384" t="s">
        <v>31</v>
      </c>
      <c r="J384" s="1">
        <v>45715</v>
      </c>
      <c r="K384" s="1">
        <f>DATE(YEAR(subscriptions[[#This Row],[signup_date]]),MONTH(subscriptions[[#This Row],[signup_date]]),1)</f>
        <v>45689</v>
      </c>
      <c r="L384" t="s">
        <v>32</v>
      </c>
      <c r="M384" s="1">
        <v>45970</v>
      </c>
      <c r="N384" s="1">
        <f>IF(subscriptions[[#This Row],[churn_date]]="","",DATE(YEAR(subscriptions[[#This Row],[churn_date]]),MONTH(subscriptions[[#This Row],[churn_date]]),1))</f>
        <v>45962</v>
      </c>
      <c r="O384" t="s">
        <v>61</v>
      </c>
      <c r="P384">
        <v>0</v>
      </c>
      <c r="Q384">
        <v>4</v>
      </c>
      <c r="R384">
        <v>29</v>
      </c>
      <c r="S384" t="str">
        <f t="shared" si="5"/>
        <v>Moderate Usage</v>
      </c>
      <c r="T384" t="s">
        <v>34</v>
      </c>
    </row>
    <row r="385" spans="1:20" x14ac:dyDescent="0.3">
      <c r="A385" t="s">
        <v>449</v>
      </c>
      <c r="B385" t="s">
        <v>82</v>
      </c>
      <c r="C385" t="s">
        <v>27</v>
      </c>
      <c r="D385" t="s">
        <v>90</v>
      </c>
      <c r="E385" t="s">
        <v>56</v>
      </c>
      <c r="F385">
        <v>141</v>
      </c>
      <c r="G385">
        <v>10978</v>
      </c>
      <c r="H385" t="s">
        <v>71</v>
      </c>
      <c r="I385" t="s">
        <v>48</v>
      </c>
      <c r="J385" s="1">
        <v>44828</v>
      </c>
      <c r="K385" s="1">
        <f>DATE(YEAR(subscriptions[[#This Row],[signup_date]]),MONTH(subscriptions[[#This Row],[signup_date]]),1)</f>
        <v>44805</v>
      </c>
      <c r="L385" t="s">
        <v>34</v>
      </c>
      <c r="M385" s="1"/>
      <c r="N385" s="1" t="str">
        <f>IF(subscriptions[[#This Row],[churn_date]]="","",DATE(YEAR(subscriptions[[#This Row],[churn_date]]),MONTH(subscriptions[[#This Row],[churn_date]]),1))</f>
        <v/>
      </c>
      <c r="O385" t="s">
        <v>38</v>
      </c>
      <c r="P385">
        <v>6</v>
      </c>
      <c r="Q385">
        <v>2</v>
      </c>
      <c r="R385">
        <v>49</v>
      </c>
      <c r="S385" t="str">
        <f t="shared" si="5"/>
        <v>Moderate Usage</v>
      </c>
      <c r="T385" t="s">
        <v>34</v>
      </c>
    </row>
    <row r="386" spans="1:20" x14ac:dyDescent="0.3">
      <c r="A386" t="s">
        <v>450</v>
      </c>
      <c r="B386" t="s">
        <v>40</v>
      </c>
      <c r="C386" t="s">
        <v>36</v>
      </c>
      <c r="D386" t="s">
        <v>28</v>
      </c>
      <c r="E386" t="s">
        <v>56</v>
      </c>
      <c r="F386">
        <v>142</v>
      </c>
      <c r="G386">
        <v>546</v>
      </c>
      <c r="H386" t="s">
        <v>71</v>
      </c>
      <c r="I386" t="s">
        <v>31</v>
      </c>
      <c r="J386" s="1">
        <v>45171</v>
      </c>
      <c r="K386" s="1">
        <f>DATE(YEAR(subscriptions[[#This Row],[signup_date]]),MONTH(subscriptions[[#This Row],[signup_date]]),1)</f>
        <v>45170</v>
      </c>
      <c r="L386" t="s">
        <v>32</v>
      </c>
      <c r="M386" s="1">
        <v>45199</v>
      </c>
      <c r="N386" s="1">
        <f>IF(subscriptions[[#This Row],[churn_date]]="","",DATE(YEAR(subscriptions[[#This Row],[churn_date]]),MONTH(subscriptions[[#This Row],[churn_date]]),1))</f>
        <v>45170</v>
      </c>
      <c r="O386" t="s">
        <v>74</v>
      </c>
      <c r="P386">
        <v>13</v>
      </c>
      <c r="Q386">
        <v>2</v>
      </c>
      <c r="R386">
        <v>31</v>
      </c>
      <c r="S386" t="str">
        <f t="shared" ref="S386:S449" si="6">IF(R386&lt;=20,"Very Low Usage",
IF(R386&lt;=50,"Moderate Usage",
IF(R386&lt;=80,"High Usage",
"Very High Usage")))</f>
        <v>Moderate Usage</v>
      </c>
      <c r="T386" t="s">
        <v>34</v>
      </c>
    </row>
    <row r="387" spans="1:20" x14ac:dyDescent="0.3">
      <c r="A387" t="s">
        <v>451</v>
      </c>
      <c r="B387" t="s">
        <v>26</v>
      </c>
      <c r="C387" t="s">
        <v>27</v>
      </c>
      <c r="D387" t="s">
        <v>46</v>
      </c>
      <c r="E387" t="s">
        <v>53</v>
      </c>
      <c r="F387">
        <v>4</v>
      </c>
      <c r="G387">
        <v>114.55</v>
      </c>
      <c r="H387" t="s">
        <v>54</v>
      </c>
      <c r="I387" t="s">
        <v>80</v>
      </c>
      <c r="J387" s="1">
        <v>45889</v>
      </c>
      <c r="K387" s="1">
        <f>DATE(YEAR(subscriptions[[#This Row],[signup_date]]),MONTH(subscriptions[[#This Row],[signup_date]]),1)</f>
        <v>45870</v>
      </c>
      <c r="L387" t="s">
        <v>32</v>
      </c>
      <c r="M387" s="1">
        <v>46004</v>
      </c>
      <c r="N387" s="1">
        <f>IF(subscriptions[[#This Row],[churn_date]]="","",DATE(YEAR(subscriptions[[#This Row],[churn_date]]),MONTH(subscriptions[[#This Row],[churn_date]]),1))</f>
        <v>45992</v>
      </c>
      <c r="O387" t="s">
        <v>64</v>
      </c>
      <c r="P387">
        <v>7</v>
      </c>
      <c r="Q387">
        <v>1</v>
      </c>
      <c r="R387">
        <v>24</v>
      </c>
      <c r="S387" t="str">
        <f t="shared" si="6"/>
        <v>Moderate Usage</v>
      </c>
      <c r="T387" t="s">
        <v>34</v>
      </c>
    </row>
    <row r="388" spans="1:20" x14ac:dyDescent="0.3">
      <c r="A388" t="s">
        <v>452</v>
      </c>
      <c r="B388" t="s">
        <v>40</v>
      </c>
      <c r="C388" t="s">
        <v>27</v>
      </c>
      <c r="D388" t="s">
        <v>79</v>
      </c>
      <c r="E388" t="s">
        <v>53</v>
      </c>
      <c r="F388">
        <v>3</v>
      </c>
      <c r="G388">
        <v>37.700000000000003</v>
      </c>
      <c r="H388" t="s">
        <v>54</v>
      </c>
      <c r="I388" t="s">
        <v>31</v>
      </c>
      <c r="J388" s="1">
        <v>45137</v>
      </c>
      <c r="K388" s="1">
        <f>DATE(YEAR(subscriptions[[#This Row],[signup_date]]),MONTH(subscriptions[[#This Row],[signup_date]]),1)</f>
        <v>45108</v>
      </c>
      <c r="L388" t="s">
        <v>32</v>
      </c>
      <c r="M388" s="1">
        <v>45270</v>
      </c>
      <c r="N388" s="1">
        <f>IF(subscriptions[[#This Row],[churn_date]]="","",DATE(YEAR(subscriptions[[#This Row],[churn_date]]),MONTH(subscriptions[[#This Row],[churn_date]]),1))</f>
        <v>45261</v>
      </c>
      <c r="O388" t="s">
        <v>33</v>
      </c>
      <c r="P388">
        <v>11</v>
      </c>
      <c r="Q388">
        <v>1</v>
      </c>
      <c r="R388">
        <v>46</v>
      </c>
      <c r="S388" t="str">
        <f t="shared" si="6"/>
        <v>Moderate Usage</v>
      </c>
      <c r="T388" t="s">
        <v>34</v>
      </c>
    </row>
    <row r="389" spans="1:20" x14ac:dyDescent="0.3">
      <c r="A389" t="s">
        <v>453</v>
      </c>
      <c r="B389" t="s">
        <v>26</v>
      </c>
      <c r="C389" t="s">
        <v>36</v>
      </c>
      <c r="D389" t="s">
        <v>90</v>
      </c>
      <c r="E389" t="s">
        <v>47</v>
      </c>
      <c r="F389">
        <v>31</v>
      </c>
      <c r="G389">
        <v>369.33</v>
      </c>
      <c r="H389" t="s">
        <v>43</v>
      </c>
      <c r="I389" t="s">
        <v>66</v>
      </c>
      <c r="J389" s="1">
        <v>45071</v>
      </c>
      <c r="K389" s="1">
        <f>DATE(YEAR(subscriptions[[#This Row],[signup_date]]),MONTH(subscriptions[[#This Row],[signup_date]]),1)</f>
        <v>45047</v>
      </c>
      <c r="L389" t="s">
        <v>34</v>
      </c>
      <c r="M389" s="1"/>
      <c r="N389" s="1" t="str">
        <f>IF(subscriptions[[#This Row],[churn_date]]="","",DATE(YEAR(subscriptions[[#This Row],[churn_date]]),MONTH(subscriptions[[#This Row],[churn_date]]),1))</f>
        <v/>
      </c>
      <c r="O389" t="s">
        <v>38</v>
      </c>
      <c r="P389">
        <v>11</v>
      </c>
      <c r="Q389">
        <v>4</v>
      </c>
      <c r="R389">
        <v>66</v>
      </c>
      <c r="S389" t="str">
        <f t="shared" si="6"/>
        <v>High Usage</v>
      </c>
      <c r="T389" t="s">
        <v>34</v>
      </c>
    </row>
    <row r="390" spans="1:20" x14ac:dyDescent="0.3">
      <c r="A390" t="s">
        <v>454</v>
      </c>
      <c r="B390" t="s">
        <v>26</v>
      </c>
      <c r="C390" t="s">
        <v>36</v>
      </c>
      <c r="D390" t="s">
        <v>60</v>
      </c>
      <c r="E390" t="s">
        <v>56</v>
      </c>
      <c r="F390">
        <v>94</v>
      </c>
      <c r="G390">
        <v>1003.89</v>
      </c>
      <c r="H390" t="s">
        <v>54</v>
      </c>
      <c r="I390" t="s">
        <v>80</v>
      </c>
      <c r="J390" s="1">
        <v>45470</v>
      </c>
      <c r="K390" s="1">
        <f>DATE(YEAR(subscriptions[[#This Row],[signup_date]]),MONTH(subscriptions[[#This Row],[signup_date]]),1)</f>
        <v>45444</v>
      </c>
      <c r="L390" t="s">
        <v>34</v>
      </c>
      <c r="M390" s="1"/>
      <c r="N390" s="1" t="str">
        <f>IF(subscriptions[[#This Row],[churn_date]]="","",DATE(YEAR(subscriptions[[#This Row],[churn_date]]),MONTH(subscriptions[[#This Row],[churn_date]]),1))</f>
        <v/>
      </c>
      <c r="O390" t="s">
        <v>38</v>
      </c>
      <c r="P390">
        <v>7</v>
      </c>
      <c r="Q390">
        <v>7</v>
      </c>
      <c r="R390">
        <v>62</v>
      </c>
      <c r="S390" t="str">
        <f t="shared" si="6"/>
        <v>High Usage</v>
      </c>
      <c r="T390" t="s">
        <v>34</v>
      </c>
    </row>
    <row r="391" spans="1:20" x14ac:dyDescent="0.3">
      <c r="A391" t="s">
        <v>455</v>
      </c>
      <c r="B391" t="s">
        <v>26</v>
      </c>
      <c r="C391" t="s">
        <v>27</v>
      </c>
      <c r="D391" t="s">
        <v>50</v>
      </c>
      <c r="E391" t="s">
        <v>56</v>
      </c>
      <c r="F391">
        <v>38</v>
      </c>
      <c r="G391">
        <v>517.45000000000005</v>
      </c>
      <c r="H391" t="s">
        <v>71</v>
      </c>
      <c r="I391" t="s">
        <v>31</v>
      </c>
      <c r="J391" s="1">
        <v>45059</v>
      </c>
      <c r="K391" s="1">
        <f>DATE(YEAR(subscriptions[[#This Row],[signup_date]]),MONTH(subscriptions[[#This Row],[signup_date]]),1)</f>
        <v>45047</v>
      </c>
      <c r="L391" t="s">
        <v>32</v>
      </c>
      <c r="M391" s="1">
        <v>45500</v>
      </c>
      <c r="N391" s="1">
        <f>IF(subscriptions[[#This Row],[churn_date]]="","",DATE(YEAR(subscriptions[[#This Row],[churn_date]]),MONTH(subscriptions[[#This Row],[churn_date]]),1))</f>
        <v>45474</v>
      </c>
      <c r="O391" t="s">
        <v>57</v>
      </c>
      <c r="P391">
        <v>4</v>
      </c>
      <c r="Q391">
        <v>4</v>
      </c>
      <c r="R391">
        <v>44</v>
      </c>
      <c r="S391" t="str">
        <f t="shared" si="6"/>
        <v>Moderate Usage</v>
      </c>
      <c r="T391" t="s">
        <v>34</v>
      </c>
    </row>
    <row r="392" spans="1:20" x14ac:dyDescent="0.3">
      <c r="A392" t="s">
        <v>456</v>
      </c>
      <c r="B392" t="s">
        <v>40</v>
      </c>
      <c r="C392" t="s">
        <v>36</v>
      </c>
      <c r="D392" t="s">
        <v>50</v>
      </c>
      <c r="E392" t="s">
        <v>53</v>
      </c>
      <c r="F392">
        <v>8</v>
      </c>
      <c r="G392">
        <v>50.53</v>
      </c>
      <c r="H392" t="s">
        <v>71</v>
      </c>
      <c r="I392" t="s">
        <v>48</v>
      </c>
      <c r="J392" s="1">
        <v>44865</v>
      </c>
      <c r="K392" s="1">
        <f>DATE(YEAR(subscriptions[[#This Row],[signup_date]]),MONTH(subscriptions[[#This Row],[signup_date]]),1)</f>
        <v>44835</v>
      </c>
      <c r="L392" t="s">
        <v>32</v>
      </c>
      <c r="M392" s="1">
        <v>45453</v>
      </c>
      <c r="N392" s="1">
        <f>IF(subscriptions[[#This Row],[churn_date]]="","",DATE(YEAR(subscriptions[[#This Row],[churn_date]]),MONTH(subscriptions[[#This Row],[churn_date]]),1))</f>
        <v>45444</v>
      </c>
      <c r="O392" t="s">
        <v>74</v>
      </c>
      <c r="P392">
        <v>2</v>
      </c>
      <c r="Q392">
        <v>6</v>
      </c>
      <c r="R392">
        <v>17</v>
      </c>
      <c r="S392" t="str">
        <f t="shared" si="6"/>
        <v>Very Low Usage</v>
      </c>
      <c r="T392" t="s">
        <v>34</v>
      </c>
    </row>
    <row r="393" spans="1:20" x14ac:dyDescent="0.3">
      <c r="A393" t="s">
        <v>457</v>
      </c>
      <c r="B393" t="s">
        <v>40</v>
      </c>
      <c r="C393" t="s">
        <v>27</v>
      </c>
      <c r="D393" t="s">
        <v>60</v>
      </c>
      <c r="E393" t="s">
        <v>47</v>
      </c>
      <c r="F393">
        <v>19</v>
      </c>
      <c r="G393">
        <v>107.3</v>
      </c>
      <c r="H393" t="s">
        <v>71</v>
      </c>
      <c r="I393" t="s">
        <v>31</v>
      </c>
      <c r="J393" s="1">
        <v>45361</v>
      </c>
      <c r="K393" s="1">
        <f>DATE(YEAR(subscriptions[[#This Row],[signup_date]]),MONTH(subscriptions[[#This Row],[signup_date]]),1)</f>
        <v>45352</v>
      </c>
      <c r="L393" t="s">
        <v>32</v>
      </c>
      <c r="M393" s="1">
        <v>45418</v>
      </c>
      <c r="N393" s="1">
        <f>IF(subscriptions[[#This Row],[churn_date]]="","",DATE(YEAR(subscriptions[[#This Row],[churn_date]]),MONTH(subscriptions[[#This Row],[churn_date]]),1))</f>
        <v>45413</v>
      </c>
      <c r="O393" t="s">
        <v>93</v>
      </c>
      <c r="P393">
        <v>9</v>
      </c>
      <c r="Q393">
        <v>5</v>
      </c>
      <c r="R393">
        <v>18</v>
      </c>
      <c r="S393" t="str">
        <f t="shared" si="6"/>
        <v>Very Low Usage</v>
      </c>
      <c r="T393" t="s">
        <v>34</v>
      </c>
    </row>
    <row r="394" spans="1:20" x14ac:dyDescent="0.3">
      <c r="A394" t="s">
        <v>458</v>
      </c>
      <c r="B394" t="s">
        <v>26</v>
      </c>
      <c r="C394" t="s">
        <v>27</v>
      </c>
      <c r="D394" t="s">
        <v>60</v>
      </c>
      <c r="E394" t="s">
        <v>29</v>
      </c>
      <c r="F394">
        <v>39</v>
      </c>
      <c r="G394">
        <v>529.29999999999995</v>
      </c>
      <c r="H394" t="s">
        <v>37</v>
      </c>
      <c r="I394" t="s">
        <v>31</v>
      </c>
      <c r="J394" s="1">
        <v>45701</v>
      </c>
      <c r="K394" s="1">
        <f>DATE(YEAR(subscriptions[[#This Row],[signup_date]]),MONTH(subscriptions[[#This Row],[signup_date]]),1)</f>
        <v>45689</v>
      </c>
      <c r="L394" t="s">
        <v>34</v>
      </c>
      <c r="M394" s="1"/>
      <c r="N394" s="1" t="str">
        <f>IF(subscriptions[[#This Row],[churn_date]]="","",DATE(YEAR(subscriptions[[#This Row],[churn_date]]),MONTH(subscriptions[[#This Row],[churn_date]]),1))</f>
        <v/>
      </c>
      <c r="O394" t="s">
        <v>38</v>
      </c>
      <c r="P394">
        <v>1</v>
      </c>
      <c r="Q394">
        <v>10</v>
      </c>
      <c r="R394">
        <v>49</v>
      </c>
      <c r="S394" t="str">
        <f t="shared" si="6"/>
        <v>Moderate Usage</v>
      </c>
      <c r="T394" t="s">
        <v>34</v>
      </c>
    </row>
    <row r="395" spans="1:20" x14ac:dyDescent="0.3">
      <c r="A395" t="s">
        <v>459</v>
      </c>
      <c r="B395" t="s">
        <v>26</v>
      </c>
      <c r="C395" t="s">
        <v>36</v>
      </c>
      <c r="D395" t="s">
        <v>46</v>
      </c>
      <c r="E395" t="s">
        <v>47</v>
      </c>
      <c r="F395">
        <v>19</v>
      </c>
      <c r="G395">
        <v>248.46</v>
      </c>
      <c r="H395" t="s">
        <v>30</v>
      </c>
      <c r="I395" t="s">
        <v>31</v>
      </c>
      <c r="J395" s="1">
        <v>45379</v>
      </c>
      <c r="K395" s="1">
        <f>DATE(YEAR(subscriptions[[#This Row],[signup_date]]),MONTH(subscriptions[[#This Row],[signup_date]]),1)</f>
        <v>45352</v>
      </c>
      <c r="L395" t="s">
        <v>34</v>
      </c>
      <c r="M395" s="1"/>
      <c r="N395" s="1" t="str">
        <f>IF(subscriptions[[#This Row],[churn_date]]="","",DATE(YEAR(subscriptions[[#This Row],[churn_date]]),MONTH(subscriptions[[#This Row],[churn_date]]),1))</f>
        <v/>
      </c>
      <c r="O395" t="s">
        <v>38</v>
      </c>
      <c r="P395">
        <v>5</v>
      </c>
      <c r="Q395">
        <v>6</v>
      </c>
      <c r="R395">
        <v>23</v>
      </c>
      <c r="S395" t="str">
        <f t="shared" si="6"/>
        <v>Moderate Usage</v>
      </c>
      <c r="T395" t="s">
        <v>34</v>
      </c>
    </row>
    <row r="396" spans="1:20" x14ac:dyDescent="0.3">
      <c r="A396" t="s">
        <v>460</v>
      </c>
      <c r="B396" t="s">
        <v>45</v>
      </c>
      <c r="C396" t="s">
        <v>27</v>
      </c>
      <c r="D396" t="s">
        <v>41</v>
      </c>
      <c r="E396" t="s">
        <v>53</v>
      </c>
      <c r="F396">
        <v>4</v>
      </c>
      <c r="G396">
        <v>288.55</v>
      </c>
      <c r="H396" t="s">
        <v>30</v>
      </c>
      <c r="I396" t="s">
        <v>48</v>
      </c>
      <c r="J396" s="1">
        <v>45363</v>
      </c>
      <c r="K396" s="1">
        <f>DATE(YEAR(subscriptions[[#This Row],[signup_date]]),MONTH(subscriptions[[#This Row],[signup_date]]),1)</f>
        <v>45352</v>
      </c>
      <c r="L396" t="s">
        <v>34</v>
      </c>
      <c r="M396" s="1"/>
      <c r="N396" s="1" t="str">
        <f>IF(subscriptions[[#This Row],[churn_date]]="","",DATE(YEAR(subscriptions[[#This Row],[churn_date]]),MONTH(subscriptions[[#This Row],[churn_date]]),1))</f>
        <v/>
      </c>
      <c r="O396" t="s">
        <v>38</v>
      </c>
      <c r="P396">
        <v>0</v>
      </c>
      <c r="Q396">
        <v>4</v>
      </c>
      <c r="R396">
        <v>39</v>
      </c>
      <c r="S396" t="str">
        <f t="shared" si="6"/>
        <v>Moderate Usage</v>
      </c>
      <c r="T396" t="s">
        <v>34</v>
      </c>
    </row>
    <row r="397" spans="1:20" x14ac:dyDescent="0.3">
      <c r="A397" t="s">
        <v>461</v>
      </c>
      <c r="B397" t="s">
        <v>26</v>
      </c>
      <c r="C397" t="s">
        <v>27</v>
      </c>
      <c r="D397" t="s">
        <v>73</v>
      </c>
      <c r="E397" t="s">
        <v>53</v>
      </c>
      <c r="F397">
        <v>7</v>
      </c>
      <c r="G397">
        <v>150.1</v>
      </c>
      <c r="H397" t="s">
        <v>54</v>
      </c>
      <c r="I397" t="s">
        <v>48</v>
      </c>
      <c r="J397" s="1">
        <v>45217</v>
      </c>
      <c r="K397" s="1">
        <f>DATE(YEAR(subscriptions[[#This Row],[signup_date]]),MONTH(subscriptions[[#This Row],[signup_date]]),1)</f>
        <v>45200</v>
      </c>
      <c r="L397" t="s">
        <v>34</v>
      </c>
      <c r="M397" s="1"/>
      <c r="N397" s="1" t="str">
        <f>IF(subscriptions[[#This Row],[churn_date]]="","",DATE(YEAR(subscriptions[[#This Row],[churn_date]]),MONTH(subscriptions[[#This Row],[churn_date]]),1))</f>
        <v/>
      </c>
      <c r="O397" t="s">
        <v>38</v>
      </c>
      <c r="P397">
        <v>3</v>
      </c>
      <c r="Q397">
        <v>7</v>
      </c>
      <c r="R397">
        <v>73</v>
      </c>
      <c r="S397" t="str">
        <f t="shared" si="6"/>
        <v>High Usage</v>
      </c>
      <c r="T397" t="s">
        <v>34</v>
      </c>
    </row>
    <row r="398" spans="1:20" x14ac:dyDescent="0.3">
      <c r="A398" t="s">
        <v>462</v>
      </c>
      <c r="B398" t="s">
        <v>40</v>
      </c>
      <c r="C398" t="s">
        <v>36</v>
      </c>
      <c r="D398" t="s">
        <v>46</v>
      </c>
      <c r="E398" t="s">
        <v>47</v>
      </c>
      <c r="F398">
        <v>5</v>
      </c>
      <c r="G398">
        <v>39.44</v>
      </c>
      <c r="H398" t="s">
        <v>30</v>
      </c>
      <c r="I398" t="s">
        <v>48</v>
      </c>
      <c r="J398" s="1">
        <v>45518</v>
      </c>
      <c r="K398" s="1">
        <f>DATE(YEAR(subscriptions[[#This Row],[signup_date]]),MONTH(subscriptions[[#This Row],[signup_date]]),1)</f>
        <v>45505</v>
      </c>
      <c r="L398" t="s">
        <v>32</v>
      </c>
      <c r="M398" s="1">
        <v>45592</v>
      </c>
      <c r="N398" s="1">
        <f>IF(subscriptions[[#This Row],[churn_date]]="","",DATE(YEAR(subscriptions[[#This Row],[churn_date]]),MONTH(subscriptions[[#This Row],[churn_date]]),1))</f>
        <v>45566</v>
      </c>
      <c r="O398" t="s">
        <v>67</v>
      </c>
      <c r="P398">
        <v>2</v>
      </c>
      <c r="Q398">
        <v>1</v>
      </c>
      <c r="R398">
        <v>39</v>
      </c>
      <c r="S398" t="str">
        <f t="shared" si="6"/>
        <v>Moderate Usage</v>
      </c>
      <c r="T398" t="s">
        <v>34</v>
      </c>
    </row>
    <row r="399" spans="1:20" x14ac:dyDescent="0.3">
      <c r="A399" t="s">
        <v>463</v>
      </c>
      <c r="B399" t="s">
        <v>45</v>
      </c>
      <c r="C399" t="s">
        <v>36</v>
      </c>
      <c r="D399" t="s">
        <v>41</v>
      </c>
      <c r="E399" t="s">
        <v>42</v>
      </c>
      <c r="F399">
        <v>252</v>
      </c>
      <c r="G399">
        <v>6537.65</v>
      </c>
      <c r="H399" t="s">
        <v>30</v>
      </c>
      <c r="I399" t="s">
        <v>31</v>
      </c>
      <c r="J399" s="1">
        <v>45044</v>
      </c>
      <c r="K399" s="1">
        <f>DATE(YEAR(subscriptions[[#This Row],[signup_date]]),MONTH(subscriptions[[#This Row],[signup_date]]),1)</f>
        <v>45017</v>
      </c>
      <c r="L399" t="s">
        <v>32</v>
      </c>
      <c r="M399" s="1">
        <v>45068</v>
      </c>
      <c r="N399" s="1">
        <f>IF(subscriptions[[#This Row],[churn_date]]="","",DATE(YEAR(subscriptions[[#This Row],[churn_date]]),MONTH(subscriptions[[#This Row],[churn_date]]),1))</f>
        <v>45047</v>
      </c>
      <c r="O399" t="s">
        <v>33</v>
      </c>
      <c r="P399">
        <v>9</v>
      </c>
      <c r="Q399">
        <v>6</v>
      </c>
      <c r="R399">
        <v>44</v>
      </c>
      <c r="S399" t="str">
        <f t="shared" si="6"/>
        <v>Moderate Usage</v>
      </c>
      <c r="T399" t="s">
        <v>34</v>
      </c>
    </row>
    <row r="400" spans="1:20" x14ac:dyDescent="0.3">
      <c r="A400" t="s">
        <v>464</v>
      </c>
      <c r="B400" t="s">
        <v>45</v>
      </c>
      <c r="C400" t="s">
        <v>36</v>
      </c>
      <c r="D400" t="s">
        <v>46</v>
      </c>
      <c r="E400" t="s">
        <v>56</v>
      </c>
      <c r="F400">
        <v>86</v>
      </c>
      <c r="G400">
        <v>2325.81</v>
      </c>
      <c r="H400" t="s">
        <v>71</v>
      </c>
      <c r="I400" t="s">
        <v>31</v>
      </c>
      <c r="J400" s="1">
        <v>45209</v>
      </c>
      <c r="K400" s="1">
        <f>DATE(YEAR(subscriptions[[#This Row],[signup_date]]),MONTH(subscriptions[[#This Row],[signup_date]]),1)</f>
        <v>45200</v>
      </c>
      <c r="L400" t="s">
        <v>32</v>
      </c>
      <c r="M400" s="1">
        <v>45984</v>
      </c>
      <c r="N400" s="1">
        <f>IF(subscriptions[[#This Row],[churn_date]]="","",DATE(YEAR(subscriptions[[#This Row],[churn_date]]),MONTH(subscriptions[[#This Row],[churn_date]]),1))</f>
        <v>45962</v>
      </c>
      <c r="O400" t="s">
        <v>61</v>
      </c>
      <c r="P400">
        <v>0</v>
      </c>
      <c r="Q400">
        <v>2</v>
      </c>
      <c r="R400">
        <v>11</v>
      </c>
      <c r="S400" t="str">
        <f t="shared" si="6"/>
        <v>Very Low Usage</v>
      </c>
      <c r="T400" t="s">
        <v>34</v>
      </c>
    </row>
    <row r="401" spans="1:20" x14ac:dyDescent="0.3">
      <c r="A401" t="s">
        <v>465</v>
      </c>
      <c r="B401" t="s">
        <v>40</v>
      </c>
      <c r="C401" t="s">
        <v>36</v>
      </c>
      <c r="D401" t="s">
        <v>73</v>
      </c>
      <c r="E401" t="s">
        <v>53</v>
      </c>
      <c r="F401">
        <v>5</v>
      </c>
      <c r="G401">
        <v>39.44</v>
      </c>
      <c r="H401" t="s">
        <v>43</v>
      </c>
      <c r="I401" t="s">
        <v>31</v>
      </c>
      <c r="J401" s="1">
        <v>44771</v>
      </c>
      <c r="K401" s="1">
        <f>DATE(YEAR(subscriptions[[#This Row],[signup_date]]),MONTH(subscriptions[[#This Row],[signup_date]]),1)</f>
        <v>44743</v>
      </c>
      <c r="L401" t="s">
        <v>32</v>
      </c>
      <c r="M401" s="1">
        <v>45492</v>
      </c>
      <c r="N401" s="1">
        <f>IF(subscriptions[[#This Row],[churn_date]]="","",DATE(YEAR(subscriptions[[#This Row],[churn_date]]),MONTH(subscriptions[[#This Row],[churn_date]]),1))</f>
        <v>45474</v>
      </c>
      <c r="O401" t="s">
        <v>64</v>
      </c>
      <c r="P401">
        <v>3</v>
      </c>
      <c r="Q401">
        <v>1</v>
      </c>
      <c r="R401">
        <v>34</v>
      </c>
      <c r="S401" t="str">
        <f t="shared" si="6"/>
        <v>Moderate Usage</v>
      </c>
      <c r="T401" t="s">
        <v>34</v>
      </c>
    </row>
    <row r="402" spans="1:20" x14ac:dyDescent="0.3">
      <c r="A402" t="s">
        <v>466</v>
      </c>
      <c r="B402" t="s">
        <v>45</v>
      </c>
      <c r="C402" t="s">
        <v>36</v>
      </c>
      <c r="D402" t="s">
        <v>63</v>
      </c>
      <c r="E402" t="s">
        <v>53</v>
      </c>
      <c r="F402">
        <v>7</v>
      </c>
      <c r="G402">
        <v>321.38</v>
      </c>
      <c r="H402" t="s">
        <v>30</v>
      </c>
      <c r="I402" t="s">
        <v>31</v>
      </c>
      <c r="J402" s="1">
        <v>45602</v>
      </c>
      <c r="K402" s="1">
        <f>DATE(YEAR(subscriptions[[#This Row],[signup_date]]),MONTH(subscriptions[[#This Row],[signup_date]]),1)</f>
        <v>45597</v>
      </c>
      <c r="L402" t="s">
        <v>34</v>
      </c>
      <c r="M402" s="1"/>
      <c r="N402" s="1" t="str">
        <f>IF(subscriptions[[#This Row],[churn_date]]="","",DATE(YEAR(subscriptions[[#This Row],[churn_date]]),MONTH(subscriptions[[#This Row],[churn_date]]),1))</f>
        <v/>
      </c>
      <c r="O402" t="s">
        <v>38</v>
      </c>
      <c r="P402">
        <v>9</v>
      </c>
      <c r="Q402">
        <v>9</v>
      </c>
      <c r="R402">
        <v>30</v>
      </c>
      <c r="S402" t="str">
        <f t="shared" si="6"/>
        <v>Moderate Usage</v>
      </c>
      <c r="T402" t="s">
        <v>34</v>
      </c>
    </row>
    <row r="403" spans="1:20" x14ac:dyDescent="0.3">
      <c r="A403" t="s">
        <v>467</v>
      </c>
      <c r="B403" t="s">
        <v>26</v>
      </c>
      <c r="C403" t="s">
        <v>36</v>
      </c>
      <c r="D403" t="s">
        <v>60</v>
      </c>
      <c r="E403" t="s">
        <v>29</v>
      </c>
      <c r="F403">
        <v>34</v>
      </c>
      <c r="G403">
        <v>399.54</v>
      </c>
      <c r="H403" t="s">
        <v>54</v>
      </c>
      <c r="I403" t="s">
        <v>48</v>
      </c>
      <c r="J403" s="1">
        <v>44655</v>
      </c>
      <c r="K403" s="1">
        <f>DATE(YEAR(subscriptions[[#This Row],[signup_date]]),MONTH(subscriptions[[#This Row],[signup_date]]),1)</f>
        <v>44652</v>
      </c>
      <c r="L403" t="s">
        <v>32</v>
      </c>
      <c r="M403" s="1">
        <v>45528</v>
      </c>
      <c r="N403" s="1">
        <f>IF(subscriptions[[#This Row],[churn_date]]="","",DATE(YEAR(subscriptions[[#This Row],[churn_date]]),MONTH(subscriptions[[#This Row],[churn_date]]),1))</f>
        <v>45505</v>
      </c>
      <c r="O403" t="s">
        <v>67</v>
      </c>
      <c r="P403">
        <v>14</v>
      </c>
      <c r="Q403">
        <v>1</v>
      </c>
      <c r="R403">
        <v>34</v>
      </c>
      <c r="S403" t="str">
        <f t="shared" si="6"/>
        <v>Moderate Usage</v>
      </c>
      <c r="T403" t="s">
        <v>34</v>
      </c>
    </row>
    <row r="404" spans="1:20" x14ac:dyDescent="0.3">
      <c r="A404" t="s">
        <v>468</v>
      </c>
      <c r="B404" t="s">
        <v>45</v>
      </c>
      <c r="C404" t="s">
        <v>27</v>
      </c>
      <c r="D404" t="s">
        <v>90</v>
      </c>
      <c r="E404" t="s">
        <v>53</v>
      </c>
      <c r="F404">
        <v>8</v>
      </c>
      <c r="G404">
        <v>407.95</v>
      </c>
      <c r="H404" t="s">
        <v>30</v>
      </c>
      <c r="I404" t="s">
        <v>31</v>
      </c>
      <c r="J404" s="1">
        <v>44948</v>
      </c>
      <c r="K404" s="1">
        <f>DATE(YEAR(subscriptions[[#This Row],[signup_date]]),MONTH(subscriptions[[#This Row],[signup_date]]),1)</f>
        <v>44927</v>
      </c>
      <c r="L404" t="s">
        <v>32</v>
      </c>
      <c r="M404" s="1">
        <v>45531</v>
      </c>
      <c r="N404" s="1">
        <f>IF(subscriptions[[#This Row],[churn_date]]="","",DATE(YEAR(subscriptions[[#This Row],[churn_date]]),MONTH(subscriptions[[#This Row],[churn_date]]),1))</f>
        <v>45505</v>
      </c>
      <c r="O404" t="s">
        <v>57</v>
      </c>
      <c r="P404">
        <v>13</v>
      </c>
      <c r="Q404">
        <v>5</v>
      </c>
      <c r="R404">
        <v>25</v>
      </c>
      <c r="S404" t="str">
        <f t="shared" si="6"/>
        <v>Moderate Usage</v>
      </c>
      <c r="T404" t="s">
        <v>34</v>
      </c>
    </row>
    <row r="405" spans="1:20" x14ac:dyDescent="0.3">
      <c r="A405" t="s">
        <v>469</v>
      </c>
      <c r="B405" t="s">
        <v>45</v>
      </c>
      <c r="C405" t="s">
        <v>27</v>
      </c>
      <c r="D405" t="s">
        <v>63</v>
      </c>
      <c r="E405" t="s">
        <v>29</v>
      </c>
      <c r="F405">
        <v>43</v>
      </c>
      <c r="G405">
        <v>1452.7</v>
      </c>
      <c r="H405" t="s">
        <v>43</v>
      </c>
      <c r="I405" t="s">
        <v>31</v>
      </c>
      <c r="J405" s="1">
        <v>45925</v>
      </c>
      <c r="K405" s="1">
        <f>DATE(YEAR(subscriptions[[#This Row],[signup_date]]),MONTH(subscriptions[[#This Row],[signup_date]]),1)</f>
        <v>45901</v>
      </c>
      <c r="L405" t="s">
        <v>34</v>
      </c>
      <c r="M405" s="1"/>
      <c r="N405" s="1" t="str">
        <f>IF(subscriptions[[#This Row],[churn_date]]="","",DATE(YEAR(subscriptions[[#This Row],[churn_date]]),MONTH(subscriptions[[#This Row],[churn_date]]),1))</f>
        <v/>
      </c>
      <c r="O405" t="s">
        <v>38</v>
      </c>
      <c r="P405">
        <v>4</v>
      </c>
      <c r="Q405">
        <v>5</v>
      </c>
      <c r="R405">
        <v>79</v>
      </c>
      <c r="S405" t="str">
        <f t="shared" si="6"/>
        <v>High Usage</v>
      </c>
      <c r="T405" t="s">
        <v>34</v>
      </c>
    </row>
    <row r="406" spans="1:20" x14ac:dyDescent="0.3">
      <c r="A406" t="s">
        <v>470</v>
      </c>
      <c r="B406" t="s">
        <v>45</v>
      </c>
      <c r="C406" t="s">
        <v>27</v>
      </c>
      <c r="D406" t="s">
        <v>50</v>
      </c>
      <c r="E406" t="s">
        <v>47</v>
      </c>
      <c r="F406">
        <v>7</v>
      </c>
      <c r="G406">
        <v>378.1</v>
      </c>
      <c r="H406" t="s">
        <v>71</v>
      </c>
      <c r="I406" t="s">
        <v>31</v>
      </c>
      <c r="J406" s="1">
        <v>45711</v>
      </c>
      <c r="K406" s="1">
        <f>DATE(YEAR(subscriptions[[#This Row],[signup_date]]),MONTH(subscriptions[[#This Row],[signup_date]]),1)</f>
        <v>45689</v>
      </c>
      <c r="L406" t="s">
        <v>34</v>
      </c>
      <c r="M406" s="1"/>
      <c r="N406" s="1" t="str">
        <f>IF(subscriptions[[#This Row],[churn_date]]="","",DATE(YEAR(subscriptions[[#This Row],[churn_date]]),MONTH(subscriptions[[#This Row],[churn_date]]),1))</f>
        <v/>
      </c>
      <c r="O406" t="s">
        <v>38</v>
      </c>
      <c r="P406">
        <v>11</v>
      </c>
      <c r="Q406">
        <v>1</v>
      </c>
      <c r="R406">
        <v>29</v>
      </c>
      <c r="S406" t="str">
        <f t="shared" si="6"/>
        <v>Moderate Usage</v>
      </c>
      <c r="T406" t="s">
        <v>32</v>
      </c>
    </row>
    <row r="407" spans="1:20" x14ac:dyDescent="0.3">
      <c r="A407" t="s">
        <v>471</v>
      </c>
      <c r="B407" t="s">
        <v>45</v>
      </c>
      <c r="C407" t="s">
        <v>27</v>
      </c>
      <c r="D407" t="s">
        <v>28</v>
      </c>
      <c r="E407" t="s">
        <v>29</v>
      </c>
      <c r="F407">
        <v>29</v>
      </c>
      <c r="G407">
        <v>1034.8</v>
      </c>
      <c r="H407" t="s">
        <v>37</v>
      </c>
      <c r="I407" t="s">
        <v>31</v>
      </c>
      <c r="J407" s="1">
        <v>44979</v>
      </c>
      <c r="K407" s="1">
        <f>DATE(YEAR(subscriptions[[#This Row],[signup_date]]),MONTH(subscriptions[[#This Row],[signup_date]]),1)</f>
        <v>44958</v>
      </c>
      <c r="L407" t="s">
        <v>32</v>
      </c>
      <c r="M407" s="1">
        <v>45929</v>
      </c>
      <c r="N407" s="1">
        <f>IF(subscriptions[[#This Row],[churn_date]]="","",DATE(YEAR(subscriptions[[#This Row],[churn_date]]),MONTH(subscriptions[[#This Row],[churn_date]]),1))</f>
        <v>45901</v>
      </c>
      <c r="O407" t="s">
        <v>93</v>
      </c>
      <c r="P407">
        <v>14</v>
      </c>
      <c r="Q407">
        <v>4</v>
      </c>
      <c r="R407">
        <v>41</v>
      </c>
      <c r="S407" t="str">
        <f t="shared" si="6"/>
        <v>Moderate Usage</v>
      </c>
      <c r="T407" t="s">
        <v>34</v>
      </c>
    </row>
    <row r="408" spans="1:20" x14ac:dyDescent="0.3">
      <c r="A408" t="s">
        <v>472</v>
      </c>
      <c r="B408" t="s">
        <v>26</v>
      </c>
      <c r="C408" t="s">
        <v>36</v>
      </c>
      <c r="D408" t="s">
        <v>90</v>
      </c>
      <c r="E408" t="s">
        <v>42</v>
      </c>
      <c r="F408">
        <v>115</v>
      </c>
      <c r="G408">
        <v>1215.4100000000001</v>
      </c>
      <c r="H408" t="s">
        <v>54</v>
      </c>
      <c r="I408" t="s">
        <v>48</v>
      </c>
      <c r="J408" s="1">
        <v>44816</v>
      </c>
      <c r="K408" s="1">
        <f>DATE(YEAR(subscriptions[[#This Row],[signup_date]]),MONTH(subscriptions[[#This Row],[signup_date]]),1)</f>
        <v>44805</v>
      </c>
      <c r="L408" t="s">
        <v>32</v>
      </c>
      <c r="M408" s="1">
        <v>45019</v>
      </c>
      <c r="N408" s="1">
        <f>IF(subscriptions[[#This Row],[churn_date]]="","",DATE(YEAR(subscriptions[[#This Row],[churn_date]]),MONTH(subscriptions[[#This Row],[churn_date]]),1))</f>
        <v>45017</v>
      </c>
      <c r="O408" t="s">
        <v>93</v>
      </c>
      <c r="P408">
        <v>7</v>
      </c>
      <c r="Q408">
        <v>4</v>
      </c>
      <c r="R408">
        <v>48</v>
      </c>
      <c r="S408" t="str">
        <f t="shared" si="6"/>
        <v>Moderate Usage</v>
      </c>
      <c r="T408" t="s">
        <v>34</v>
      </c>
    </row>
    <row r="409" spans="1:20" x14ac:dyDescent="0.3">
      <c r="A409" t="s">
        <v>473</v>
      </c>
      <c r="B409" t="s">
        <v>40</v>
      </c>
      <c r="C409" t="s">
        <v>27</v>
      </c>
      <c r="D409" t="s">
        <v>41</v>
      </c>
      <c r="E409" t="s">
        <v>29</v>
      </c>
      <c r="F409">
        <v>75</v>
      </c>
      <c r="G409">
        <v>350.9</v>
      </c>
      <c r="H409" t="s">
        <v>71</v>
      </c>
      <c r="I409" t="s">
        <v>31</v>
      </c>
      <c r="J409" s="1">
        <v>45944</v>
      </c>
      <c r="K409" s="1">
        <f>DATE(YEAR(subscriptions[[#This Row],[signup_date]]),MONTH(subscriptions[[#This Row],[signup_date]]),1)</f>
        <v>45931</v>
      </c>
      <c r="L409" t="s">
        <v>34</v>
      </c>
      <c r="M409" s="1"/>
      <c r="N409" s="1" t="str">
        <f>IF(subscriptions[[#This Row],[churn_date]]="","",DATE(YEAR(subscriptions[[#This Row],[churn_date]]),MONTH(subscriptions[[#This Row],[churn_date]]),1))</f>
        <v/>
      </c>
      <c r="O409" t="s">
        <v>38</v>
      </c>
      <c r="P409">
        <v>10</v>
      </c>
      <c r="Q409">
        <v>8</v>
      </c>
      <c r="R409">
        <v>92</v>
      </c>
      <c r="S409" t="str">
        <f t="shared" si="6"/>
        <v>Very High Usage</v>
      </c>
      <c r="T409" t="s">
        <v>34</v>
      </c>
    </row>
    <row r="410" spans="1:20" x14ac:dyDescent="0.3">
      <c r="A410" t="s">
        <v>474</v>
      </c>
      <c r="B410" t="s">
        <v>40</v>
      </c>
      <c r="C410" t="s">
        <v>27</v>
      </c>
      <c r="D410" t="s">
        <v>50</v>
      </c>
      <c r="E410" t="s">
        <v>53</v>
      </c>
      <c r="F410">
        <v>8</v>
      </c>
      <c r="G410">
        <v>59.45</v>
      </c>
      <c r="H410" t="s">
        <v>54</v>
      </c>
      <c r="I410" t="s">
        <v>31</v>
      </c>
      <c r="J410" s="1">
        <v>45748</v>
      </c>
      <c r="K410" s="1">
        <f>DATE(YEAR(subscriptions[[#This Row],[signup_date]]),MONTH(subscriptions[[#This Row],[signup_date]]),1)</f>
        <v>45748</v>
      </c>
      <c r="L410" t="s">
        <v>32</v>
      </c>
      <c r="M410" s="1">
        <v>45766</v>
      </c>
      <c r="N410" s="1">
        <f>IF(subscriptions[[#This Row],[churn_date]]="","",DATE(YEAR(subscriptions[[#This Row],[churn_date]]),MONTH(subscriptions[[#This Row],[churn_date]]),1))</f>
        <v>45748</v>
      </c>
      <c r="O410" t="s">
        <v>57</v>
      </c>
      <c r="P410">
        <v>11</v>
      </c>
      <c r="Q410">
        <v>2</v>
      </c>
      <c r="R410">
        <v>27</v>
      </c>
      <c r="S410" t="str">
        <f t="shared" si="6"/>
        <v>Moderate Usage</v>
      </c>
      <c r="T410" t="s">
        <v>34</v>
      </c>
    </row>
    <row r="411" spans="1:20" x14ac:dyDescent="0.3">
      <c r="A411" t="s">
        <v>475</v>
      </c>
      <c r="B411" t="s">
        <v>26</v>
      </c>
      <c r="C411" t="s">
        <v>27</v>
      </c>
      <c r="D411" t="s">
        <v>79</v>
      </c>
      <c r="E411" t="s">
        <v>56</v>
      </c>
      <c r="F411">
        <v>125</v>
      </c>
      <c r="G411">
        <v>1548.4</v>
      </c>
      <c r="H411" t="s">
        <v>54</v>
      </c>
      <c r="I411" t="s">
        <v>31</v>
      </c>
      <c r="J411" s="1">
        <v>44637</v>
      </c>
      <c r="K411" s="1">
        <f>DATE(YEAR(subscriptions[[#This Row],[signup_date]]),MONTH(subscriptions[[#This Row],[signup_date]]),1)</f>
        <v>44621</v>
      </c>
      <c r="L411" t="s">
        <v>32</v>
      </c>
      <c r="M411" s="1">
        <v>45096</v>
      </c>
      <c r="N411" s="1">
        <f>IF(subscriptions[[#This Row],[churn_date]]="","",DATE(YEAR(subscriptions[[#This Row],[churn_date]]),MONTH(subscriptions[[#This Row],[churn_date]]),1))</f>
        <v>45078</v>
      </c>
      <c r="O411" t="s">
        <v>33</v>
      </c>
      <c r="P411">
        <v>14</v>
      </c>
      <c r="Q411">
        <v>4</v>
      </c>
      <c r="R411">
        <v>12</v>
      </c>
      <c r="S411" t="str">
        <f t="shared" si="6"/>
        <v>Very Low Usage</v>
      </c>
      <c r="T411" t="s">
        <v>34</v>
      </c>
    </row>
    <row r="412" spans="1:20" x14ac:dyDescent="0.3">
      <c r="A412" t="s">
        <v>476</v>
      </c>
      <c r="B412" t="s">
        <v>26</v>
      </c>
      <c r="C412" t="s">
        <v>27</v>
      </c>
      <c r="D412" t="s">
        <v>41</v>
      </c>
      <c r="E412" t="s">
        <v>56</v>
      </c>
      <c r="F412">
        <v>92</v>
      </c>
      <c r="G412">
        <v>1157.3499999999999</v>
      </c>
      <c r="H412" t="s">
        <v>71</v>
      </c>
      <c r="I412" t="s">
        <v>48</v>
      </c>
      <c r="J412" s="1">
        <v>45532</v>
      </c>
      <c r="K412" s="1">
        <f>DATE(YEAR(subscriptions[[#This Row],[signup_date]]),MONTH(subscriptions[[#This Row],[signup_date]]),1)</f>
        <v>45505</v>
      </c>
      <c r="L412" t="s">
        <v>32</v>
      </c>
      <c r="M412" s="1">
        <v>45932</v>
      </c>
      <c r="N412" s="1">
        <f>IF(subscriptions[[#This Row],[churn_date]]="","",DATE(YEAR(subscriptions[[#This Row],[churn_date]]),MONTH(subscriptions[[#This Row],[churn_date]]),1))</f>
        <v>45931</v>
      </c>
      <c r="O412" t="s">
        <v>33</v>
      </c>
      <c r="P412">
        <v>13</v>
      </c>
      <c r="Q412">
        <v>1</v>
      </c>
      <c r="R412">
        <v>18</v>
      </c>
      <c r="S412" t="str">
        <f t="shared" si="6"/>
        <v>Very Low Usage</v>
      </c>
      <c r="T412" t="s">
        <v>34</v>
      </c>
    </row>
    <row r="413" spans="1:20" x14ac:dyDescent="0.3">
      <c r="A413" t="s">
        <v>477</v>
      </c>
      <c r="B413" t="s">
        <v>26</v>
      </c>
      <c r="C413" t="s">
        <v>27</v>
      </c>
      <c r="D413" t="s">
        <v>63</v>
      </c>
      <c r="E413" t="s">
        <v>29</v>
      </c>
      <c r="F413">
        <v>45</v>
      </c>
      <c r="G413">
        <v>600.4</v>
      </c>
      <c r="H413" t="s">
        <v>71</v>
      </c>
      <c r="I413" t="s">
        <v>31</v>
      </c>
      <c r="J413" s="1">
        <v>44890</v>
      </c>
      <c r="K413" s="1">
        <f>DATE(YEAR(subscriptions[[#This Row],[signup_date]]),MONTH(subscriptions[[#This Row],[signup_date]]),1)</f>
        <v>44866</v>
      </c>
      <c r="L413" t="s">
        <v>32</v>
      </c>
      <c r="M413" s="1">
        <v>45071</v>
      </c>
      <c r="N413" s="1">
        <f>IF(subscriptions[[#This Row],[churn_date]]="","",DATE(YEAR(subscriptions[[#This Row],[churn_date]]),MONTH(subscriptions[[#This Row],[churn_date]]),1))</f>
        <v>45047</v>
      </c>
      <c r="O413" t="s">
        <v>74</v>
      </c>
      <c r="P413">
        <v>8</v>
      </c>
      <c r="Q413">
        <v>4</v>
      </c>
      <c r="R413">
        <v>24</v>
      </c>
      <c r="S413" t="str">
        <f t="shared" si="6"/>
        <v>Moderate Usage</v>
      </c>
      <c r="T413" t="s">
        <v>34</v>
      </c>
    </row>
    <row r="414" spans="1:20" x14ac:dyDescent="0.3">
      <c r="A414" t="s">
        <v>478</v>
      </c>
      <c r="B414" t="s">
        <v>45</v>
      </c>
      <c r="C414" t="s">
        <v>36</v>
      </c>
      <c r="D414" t="s">
        <v>46</v>
      </c>
      <c r="E414" t="s">
        <v>56</v>
      </c>
      <c r="F414">
        <v>49</v>
      </c>
      <c r="G414">
        <v>1387.03</v>
      </c>
      <c r="H414" t="s">
        <v>43</v>
      </c>
      <c r="I414" t="s">
        <v>66</v>
      </c>
      <c r="J414" s="1">
        <v>44847</v>
      </c>
      <c r="K414" s="1">
        <f>DATE(YEAR(subscriptions[[#This Row],[signup_date]]),MONTH(subscriptions[[#This Row],[signup_date]]),1)</f>
        <v>44835</v>
      </c>
      <c r="L414" t="s">
        <v>34</v>
      </c>
      <c r="M414" s="1"/>
      <c r="N414" s="1" t="str">
        <f>IF(subscriptions[[#This Row],[churn_date]]="","",DATE(YEAR(subscriptions[[#This Row],[churn_date]]),MONTH(subscriptions[[#This Row],[churn_date]]),1))</f>
        <v/>
      </c>
      <c r="O414" t="s">
        <v>38</v>
      </c>
      <c r="P414">
        <v>0</v>
      </c>
      <c r="Q414">
        <v>9</v>
      </c>
      <c r="R414">
        <v>95</v>
      </c>
      <c r="S414" t="str">
        <f t="shared" si="6"/>
        <v>Very High Usage</v>
      </c>
      <c r="T414" t="s">
        <v>34</v>
      </c>
    </row>
    <row r="415" spans="1:20" x14ac:dyDescent="0.3">
      <c r="A415" t="s">
        <v>479</v>
      </c>
      <c r="B415" t="s">
        <v>45</v>
      </c>
      <c r="C415" t="s">
        <v>27</v>
      </c>
      <c r="D415" t="s">
        <v>46</v>
      </c>
      <c r="E415" t="s">
        <v>56</v>
      </c>
      <c r="F415">
        <v>137</v>
      </c>
      <c r="G415">
        <v>4258.6000000000004</v>
      </c>
      <c r="H415" t="s">
        <v>54</v>
      </c>
      <c r="I415" t="s">
        <v>66</v>
      </c>
      <c r="J415" s="1">
        <v>45130</v>
      </c>
      <c r="K415" s="1">
        <f>DATE(YEAR(subscriptions[[#This Row],[signup_date]]),MONTH(subscriptions[[#This Row],[signup_date]]),1)</f>
        <v>45108</v>
      </c>
      <c r="L415" t="s">
        <v>32</v>
      </c>
      <c r="M415" s="1">
        <v>45516</v>
      </c>
      <c r="N415" s="1">
        <f>IF(subscriptions[[#This Row],[churn_date]]="","",DATE(YEAR(subscriptions[[#This Row],[churn_date]]),MONTH(subscriptions[[#This Row],[churn_date]]),1))</f>
        <v>45505</v>
      </c>
      <c r="O415" t="s">
        <v>93</v>
      </c>
      <c r="P415">
        <v>15</v>
      </c>
      <c r="Q415">
        <v>1</v>
      </c>
      <c r="R415">
        <v>25</v>
      </c>
      <c r="S415" t="str">
        <f t="shared" si="6"/>
        <v>Moderate Usage</v>
      </c>
      <c r="T415" t="s">
        <v>34</v>
      </c>
    </row>
    <row r="416" spans="1:20" x14ac:dyDescent="0.3">
      <c r="A416" t="s">
        <v>480</v>
      </c>
      <c r="B416" t="s">
        <v>40</v>
      </c>
      <c r="C416" t="s">
        <v>27</v>
      </c>
      <c r="D416" t="s">
        <v>28</v>
      </c>
      <c r="E416" t="s">
        <v>47</v>
      </c>
      <c r="F416">
        <v>13</v>
      </c>
      <c r="G416">
        <v>81.2</v>
      </c>
      <c r="H416" t="s">
        <v>109</v>
      </c>
      <c r="I416" t="s">
        <v>48</v>
      </c>
      <c r="J416" s="1">
        <v>45543</v>
      </c>
      <c r="K416" s="1">
        <f>DATE(YEAR(subscriptions[[#This Row],[signup_date]]),MONTH(subscriptions[[#This Row],[signup_date]]),1)</f>
        <v>45536</v>
      </c>
      <c r="L416" t="s">
        <v>32</v>
      </c>
      <c r="M416" s="1">
        <v>45580</v>
      </c>
      <c r="N416" s="1">
        <f>IF(subscriptions[[#This Row],[churn_date]]="","",DATE(YEAR(subscriptions[[#This Row],[churn_date]]),MONTH(subscriptions[[#This Row],[churn_date]]),1))</f>
        <v>45566</v>
      </c>
      <c r="O416" t="s">
        <v>61</v>
      </c>
      <c r="P416">
        <v>7</v>
      </c>
      <c r="Q416">
        <v>3</v>
      </c>
      <c r="R416">
        <v>45</v>
      </c>
      <c r="S416" t="str">
        <f t="shared" si="6"/>
        <v>Moderate Usage</v>
      </c>
      <c r="T416" t="s">
        <v>34</v>
      </c>
    </row>
    <row r="417" spans="1:20" x14ac:dyDescent="0.3">
      <c r="A417" t="s">
        <v>481</v>
      </c>
      <c r="B417" t="s">
        <v>45</v>
      </c>
      <c r="C417" t="s">
        <v>36</v>
      </c>
      <c r="D417" t="s">
        <v>50</v>
      </c>
      <c r="E417" t="s">
        <v>47</v>
      </c>
      <c r="F417">
        <v>14</v>
      </c>
      <c r="G417">
        <v>498.99</v>
      </c>
      <c r="H417" t="s">
        <v>109</v>
      </c>
      <c r="I417" t="s">
        <v>48</v>
      </c>
      <c r="J417" s="1">
        <v>45706</v>
      </c>
      <c r="K417" s="1">
        <f>DATE(YEAR(subscriptions[[#This Row],[signup_date]]),MONTH(subscriptions[[#This Row],[signup_date]]),1)</f>
        <v>45689</v>
      </c>
      <c r="L417" t="s">
        <v>32</v>
      </c>
      <c r="M417" s="1">
        <v>45795</v>
      </c>
      <c r="N417" s="1">
        <f>IF(subscriptions[[#This Row],[churn_date]]="","",DATE(YEAR(subscriptions[[#This Row],[churn_date]]),MONTH(subscriptions[[#This Row],[churn_date]]),1))</f>
        <v>45778</v>
      </c>
      <c r="O417" t="s">
        <v>93</v>
      </c>
      <c r="P417">
        <v>13</v>
      </c>
      <c r="Q417">
        <v>1</v>
      </c>
      <c r="R417">
        <v>33</v>
      </c>
      <c r="S417" t="str">
        <f t="shared" si="6"/>
        <v>Moderate Usage</v>
      </c>
      <c r="T417" t="s">
        <v>34</v>
      </c>
    </row>
    <row r="418" spans="1:20" x14ac:dyDescent="0.3">
      <c r="A418" t="s">
        <v>482</v>
      </c>
      <c r="B418" t="s">
        <v>40</v>
      </c>
      <c r="C418" t="s">
        <v>36</v>
      </c>
      <c r="D418" t="s">
        <v>46</v>
      </c>
      <c r="E418" t="s">
        <v>47</v>
      </c>
      <c r="F418">
        <v>18</v>
      </c>
      <c r="G418">
        <v>87.51</v>
      </c>
      <c r="H418" t="s">
        <v>30</v>
      </c>
      <c r="I418" t="s">
        <v>80</v>
      </c>
      <c r="J418" s="1">
        <v>45521</v>
      </c>
      <c r="K418" s="1">
        <f>DATE(YEAR(subscriptions[[#This Row],[signup_date]]),MONTH(subscriptions[[#This Row],[signup_date]]),1)</f>
        <v>45505</v>
      </c>
      <c r="L418" t="s">
        <v>32</v>
      </c>
      <c r="M418" s="1">
        <v>45595</v>
      </c>
      <c r="N418" s="1">
        <f>IF(subscriptions[[#This Row],[churn_date]]="","",DATE(YEAR(subscriptions[[#This Row],[churn_date]]),MONTH(subscriptions[[#This Row],[churn_date]]),1))</f>
        <v>45566</v>
      </c>
      <c r="O418" t="s">
        <v>33</v>
      </c>
      <c r="P418">
        <v>10</v>
      </c>
      <c r="Q418">
        <v>1</v>
      </c>
      <c r="R418">
        <v>36</v>
      </c>
      <c r="S418" t="str">
        <f t="shared" si="6"/>
        <v>Moderate Usage</v>
      </c>
      <c r="T418" t="s">
        <v>34</v>
      </c>
    </row>
    <row r="419" spans="1:20" x14ac:dyDescent="0.3">
      <c r="A419" t="s">
        <v>483</v>
      </c>
      <c r="B419" t="s">
        <v>40</v>
      </c>
      <c r="C419" t="s">
        <v>27</v>
      </c>
      <c r="D419" t="s">
        <v>90</v>
      </c>
      <c r="E419" t="s">
        <v>53</v>
      </c>
      <c r="F419">
        <v>2</v>
      </c>
      <c r="G419">
        <v>33.35</v>
      </c>
      <c r="H419" t="s">
        <v>109</v>
      </c>
      <c r="I419" t="s">
        <v>80</v>
      </c>
      <c r="J419" s="1">
        <v>44839</v>
      </c>
      <c r="K419" s="1">
        <f>DATE(YEAR(subscriptions[[#This Row],[signup_date]]),MONTH(subscriptions[[#This Row],[signup_date]]),1)</f>
        <v>44835</v>
      </c>
      <c r="L419" t="s">
        <v>32</v>
      </c>
      <c r="M419" s="1">
        <v>45110</v>
      </c>
      <c r="N419" s="1">
        <f>IF(subscriptions[[#This Row],[churn_date]]="","",DATE(YEAR(subscriptions[[#This Row],[churn_date]]),MONTH(subscriptions[[#This Row],[churn_date]]),1))</f>
        <v>45108</v>
      </c>
      <c r="O419" t="s">
        <v>61</v>
      </c>
      <c r="P419">
        <v>11</v>
      </c>
      <c r="Q419">
        <v>1</v>
      </c>
      <c r="R419">
        <v>37</v>
      </c>
      <c r="S419" t="str">
        <f t="shared" si="6"/>
        <v>Moderate Usage</v>
      </c>
      <c r="T419" t="s">
        <v>34</v>
      </c>
    </row>
    <row r="420" spans="1:20" x14ac:dyDescent="0.3">
      <c r="A420" t="s">
        <v>484</v>
      </c>
      <c r="B420" t="s">
        <v>26</v>
      </c>
      <c r="C420" t="s">
        <v>36</v>
      </c>
      <c r="D420" t="s">
        <v>50</v>
      </c>
      <c r="E420" t="s">
        <v>56</v>
      </c>
      <c r="F420">
        <v>143</v>
      </c>
      <c r="G420">
        <v>1497.45</v>
      </c>
      <c r="H420" t="s">
        <v>30</v>
      </c>
      <c r="I420" t="s">
        <v>48</v>
      </c>
      <c r="J420" s="1">
        <v>44655</v>
      </c>
      <c r="K420" s="1">
        <f>DATE(YEAR(subscriptions[[#This Row],[signup_date]]),MONTH(subscriptions[[#This Row],[signup_date]]),1)</f>
        <v>44652</v>
      </c>
      <c r="L420" t="s">
        <v>34</v>
      </c>
      <c r="M420" s="1"/>
      <c r="N420" s="1" t="str">
        <f>IF(subscriptions[[#This Row],[churn_date]]="","",DATE(YEAR(subscriptions[[#This Row],[churn_date]]),MONTH(subscriptions[[#This Row],[churn_date]]),1))</f>
        <v/>
      </c>
      <c r="O420" t="s">
        <v>38</v>
      </c>
      <c r="P420">
        <v>2</v>
      </c>
      <c r="Q420">
        <v>9</v>
      </c>
      <c r="R420">
        <v>29</v>
      </c>
      <c r="S420" t="str">
        <f t="shared" si="6"/>
        <v>Moderate Usage</v>
      </c>
      <c r="T420" t="s">
        <v>32</v>
      </c>
    </row>
    <row r="421" spans="1:20" x14ac:dyDescent="0.3">
      <c r="A421" t="s">
        <v>485</v>
      </c>
      <c r="B421" t="s">
        <v>26</v>
      </c>
      <c r="C421" t="s">
        <v>27</v>
      </c>
      <c r="D421" t="s">
        <v>28</v>
      </c>
      <c r="E421" t="s">
        <v>53</v>
      </c>
      <c r="F421">
        <v>8</v>
      </c>
      <c r="G421">
        <v>161.94999999999999</v>
      </c>
      <c r="H421" t="s">
        <v>54</v>
      </c>
      <c r="I421" t="s">
        <v>31</v>
      </c>
      <c r="J421" s="1">
        <v>44627</v>
      </c>
      <c r="K421" s="1">
        <f>DATE(YEAR(subscriptions[[#This Row],[signup_date]]),MONTH(subscriptions[[#This Row],[signup_date]]),1)</f>
        <v>44621</v>
      </c>
      <c r="L421" t="s">
        <v>32</v>
      </c>
      <c r="M421" s="1">
        <v>45349</v>
      </c>
      <c r="N421" s="1">
        <f>IF(subscriptions[[#This Row],[churn_date]]="","",DATE(YEAR(subscriptions[[#This Row],[churn_date]]),MONTH(subscriptions[[#This Row],[churn_date]]),1))</f>
        <v>45323</v>
      </c>
      <c r="O421" t="s">
        <v>93</v>
      </c>
      <c r="P421">
        <v>7</v>
      </c>
      <c r="Q421">
        <v>2</v>
      </c>
      <c r="R421">
        <v>10</v>
      </c>
      <c r="S421" t="str">
        <f t="shared" si="6"/>
        <v>Very Low Usage</v>
      </c>
      <c r="T421" t="s">
        <v>34</v>
      </c>
    </row>
    <row r="422" spans="1:20" x14ac:dyDescent="0.3">
      <c r="A422" t="s">
        <v>486</v>
      </c>
      <c r="B422" t="s">
        <v>26</v>
      </c>
      <c r="C422" t="s">
        <v>27</v>
      </c>
      <c r="D422" t="s">
        <v>50</v>
      </c>
      <c r="E422" t="s">
        <v>42</v>
      </c>
      <c r="F422">
        <v>185</v>
      </c>
      <c r="G422">
        <v>2259.4</v>
      </c>
      <c r="H422" t="s">
        <v>71</v>
      </c>
      <c r="I422" t="s">
        <v>31</v>
      </c>
      <c r="J422" s="1">
        <v>44830</v>
      </c>
      <c r="K422" s="1">
        <f>DATE(YEAR(subscriptions[[#This Row],[signup_date]]),MONTH(subscriptions[[#This Row],[signup_date]]),1)</f>
        <v>44805</v>
      </c>
      <c r="L422" t="s">
        <v>32</v>
      </c>
      <c r="M422" s="1">
        <v>44953</v>
      </c>
      <c r="N422" s="1">
        <f>IF(subscriptions[[#This Row],[churn_date]]="","",DATE(YEAR(subscriptions[[#This Row],[churn_date]]),MONTH(subscriptions[[#This Row],[churn_date]]),1))</f>
        <v>44927</v>
      </c>
      <c r="O422" t="s">
        <v>57</v>
      </c>
      <c r="P422">
        <v>10</v>
      </c>
      <c r="Q422">
        <v>6</v>
      </c>
      <c r="R422">
        <v>29</v>
      </c>
      <c r="S422" t="str">
        <f t="shared" si="6"/>
        <v>Moderate Usage</v>
      </c>
      <c r="T422" t="s">
        <v>34</v>
      </c>
    </row>
    <row r="423" spans="1:20" x14ac:dyDescent="0.3">
      <c r="A423" t="s">
        <v>487</v>
      </c>
      <c r="B423" t="s">
        <v>26</v>
      </c>
      <c r="C423" t="s">
        <v>27</v>
      </c>
      <c r="D423" t="s">
        <v>90</v>
      </c>
      <c r="E423" t="s">
        <v>29</v>
      </c>
      <c r="F423">
        <v>59</v>
      </c>
      <c r="G423">
        <v>766.3</v>
      </c>
      <c r="H423" t="s">
        <v>109</v>
      </c>
      <c r="I423" t="s">
        <v>31</v>
      </c>
      <c r="J423" s="1">
        <v>45030</v>
      </c>
      <c r="K423" s="1">
        <f>DATE(YEAR(subscriptions[[#This Row],[signup_date]]),MONTH(subscriptions[[#This Row],[signup_date]]),1)</f>
        <v>45017</v>
      </c>
      <c r="L423" t="s">
        <v>34</v>
      </c>
      <c r="M423" s="1"/>
      <c r="N423" s="1" t="str">
        <f>IF(subscriptions[[#This Row],[churn_date]]="","",DATE(YEAR(subscriptions[[#This Row],[churn_date]]),MONTH(subscriptions[[#This Row],[churn_date]]),1))</f>
        <v/>
      </c>
      <c r="O423" t="s">
        <v>38</v>
      </c>
      <c r="P423">
        <v>3</v>
      </c>
      <c r="Q423">
        <v>7</v>
      </c>
      <c r="R423">
        <v>92</v>
      </c>
      <c r="S423" t="str">
        <f t="shared" si="6"/>
        <v>Very High Usage</v>
      </c>
      <c r="T423" t="s">
        <v>32</v>
      </c>
    </row>
    <row r="424" spans="1:20" x14ac:dyDescent="0.3">
      <c r="A424" t="s">
        <v>488</v>
      </c>
      <c r="B424" t="s">
        <v>40</v>
      </c>
      <c r="C424" t="s">
        <v>27</v>
      </c>
      <c r="D424" t="s">
        <v>50</v>
      </c>
      <c r="E424" t="s">
        <v>47</v>
      </c>
      <c r="F424">
        <v>15</v>
      </c>
      <c r="G424">
        <v>89.9</v>
      </c>
      <c r="H424" t="s">
        <v>54</v>
      </c>
      <c r="I424" t="s">
        <v>48</v>
      </c>
      <c r="J424" s="1">
        <v>45228</v>
      </c>
      <c r="K424" s="1">
        <f>DATE(YEAR(subscriptions[[#This Row],[signup_date]]),MONTH(subscriptions[[#This Row],[signup_date]]),1)</f>
        <v>45200</v>
      </c>
      <c r="L424" t="s">
        <v>32</v>
      </c>
      <c r="M424" s="1">
        <v>45468</v>
      </c>
      <c r="N424" s="1">
        <f>IF(subscriptions[[#This Row],[churn_date]]="","",DATE(YEAR(subscriptions[[#This Row],[churn_date]]),MONTH(subscriptions[[#This Row],[churn_date]]),1))</f>
        <v>45444</v>
      </c>
      <c r="O424" t="s">
        <v>33</v>
      </c>
      <c r="P424">
        <v>4</v>
      </c>
      <c r="Q424">
        <v>5</v>
      </c>
      <c r="R424">
        <v>20</v>
      </c>
      <c r="S424" t="str">
        <f t="shared" si="6"/>
        <v>Very Low Usage</v>
      </c>
      <c r="T424" t="s">
        <v>34</v>
      </c>
    </row>
    <row r="425" spans="1:20" x14ac:dyDescent="0.3">
      <c r="A425" t="s">
        <v>489</v>
      </c>
      <c r="B425" t="s">
        <v>40</v>
      </c>
      <c r="C425" t="s">
        <v>27</v>
      </c>
      <c r="D425" t="s">
        <v>60</v>
      </c>
      <c r="E425" t="s">
        <v>53</v>
      </c>
      <c r="F425">
        <v>5</v>
      </c>
      <c r="G425">
        <v>46.4</v>
      </c>
      <c r="H425" t="s">
        <v>54</v>
      </c>
      <c r="I425" t="s">
        <v>48</v>
      </c>
      <c r="J425" s="1">
        <v>45041</v>
      </c>
      <c r="K425" s="1">
        <f>DATE(YEAR(subscriptions[[#This Row],[signup_date]]),MONTH(subscriptions[[#This Row],[signup_date]]),1)</f>
        <v>45017</v>
      </c>
      <c r="L425" t="s">
        <v>32</v>
      </c>
      <c r="M425" s="1">
        <v>45525</v>
      </c>
      <c r="N425" s="1">
        <f>IF(subscriptions[[#This Row],[churn_date]]="","",DATE(YEAR(subscriptions[[#This Row],[churn_date]]),MONTH(subscriptions[[#This Row],[churn_date]]),1))</f>
        <v>45505</v>
      </c>
      <c r="O425" t="s">
        <v>64</v>
      </c>
      <c r="P425">
        <v>11</v>
      </c>
      <c r="Q425">
        <v>6</v>
      </c>
      <c r="R425">
        <v>50</v>
      </c>
      <c r="S425" t="str">
        <f t="shared" si="6"/>
        <v>Moderate Usage</v>
      </c>
      <c r="T425" t="s">
        <v>34</v>
      </c>
    </row>
    <row r="426" spans="1:20" x14ac:dyDescent="0.3">
      <c r="A426" t="s">
        <v>490</v>
      </c>
      <c r="B426" t="s">
        <v>40</v>
      </c>
      <c r="C426" t="s">
        <v>27</v>
      </c>
      <c r="D426" t="s">
        <v>52</v>
      </c>
      <c r="E426" t="s">
        <v>53</v>
      </c>
      <c r="F426">
        <v>6</v>
      </c>
      <c r="G426">
        <v>50.75</v>
      </c>
      <c r="H426" t="s">
        <v>54</v>
      </c>
      <c r="I426" t="s">
        <v>66</v>
      </c>
      <c r="J426" s="1">
        <v>45731</v>
      </c>
      <c r="K426" s="1">
        <f>DATE(YEAR(subscriptions[[#This Row],[signup_date]]),MONTH(subscriptions[[#This Row],[signup_date]]),1)</f>
        <v>45717</v>
      </c>
      <c r="L426" t="s">
        <v>32</v>
      </c>
      <c r="M426" s="1">
        <v>45869</v>
      </c>
      <c r="N426" s="1">
        <f>IF(subscriptions[[#This Row],[churn_date]]="","",DATE(YEAR(subscriptions[[#This Row],[churn_date]]),MONTH(subscriptions[[#This Row],[churn_date]]),1))</f>
        <v>45839</v>
      </c>
      <c r="O426" t="s">
        <v>74</v>
      </c>
      <c r="P426">
        <v>6</v>
      </c>
      <c r="Q426">
        <v>2</v>
      </c>
      <c r="R426">
        <v>22</v>
      </c>
      <c r="S426" t="str">
        <f t="shared" si="6"/>
        <v>Moderate Usage</v>
      </c>
      <c r="T426" t="s">
        <v>34</v>
      </c>
    </row>
    <row r="427" spans="1:20" x14ac:dyDescent="0.3">
      <c r="A427" t="s">
        <v>491</v>
      </c>
      <c r="B427" t="s">
        <v>45</v>
      </c>
      <c r="C427" t="s">
        <v>27</v>
      </c>
      <c r="D427" t="s">
        <v>73</v>
      </c>
      <c r="E427" t="s">
        <v>53</v>
      </c>
      <c r="F427">
        <v>7</v>
      </c>
      <c r="G427">
        <v>378.1</v>
      </c>
      <c r="H427" t="s">
        <v>30</v>
      </c>
      <c r="I427" t="s">
        <v>31</v>
      </c>
      <c r="J427" s="1">
        <v>45357</v>
      </c>
      <c r="K427" s="1">
        <f>DATE(YEAR(subscriptions[[#This Row],[signup_date]]),MONTH(subscriptions[[#This Row],[signup_date]]),1)</f>
        <v>45352</v>
      </c>
      <c r="L427" t="s">
        <v>34</v>
      </c>
      <c r="M427" s="1"/>
      <c r="N427" s="1" t="str">
        <f>IF(subscriptions[[#This Row],[churn_date]]="","",DATE(YEAR(subscriptions[[#This Row],[churn_date]]),MONTH(subscriptions[[#This Row],[churn_date]]),1))</f>
        <v/>
      </c>
      <c r="O427" t="s">
        <v>38</v>
      </c>
      <c r="P427">
        <v>10</v>
      </c>
      <c r="Q427">
        <v>10</v>
      </c>
      <c r="R427">
        <v>68</v>
      </c>
      <c r="S427" t="str">
        <f t="shared" si="6"/>
        <v>High Usage</v>
      </c>
      <c r="T427" t="s">
        <v>32</v>
      </c>
    </row>
    <row r="428" spans="1:20" x14ac:dyDescent="0.3">
      <c r="A428" t="s">
        <v>492</v>
      </c>
      <c r="B428" t="s">
        <v>40</v>
      </c>
      <c r="C428" t="s">
        <v>36</v>
      </c>
      <c r="D428" t="s">
        <v>46</v>
      </c>
      <c r="E428" t="s">
        <v>29</v>
      </c>
      <c r="F428">
        <v>79</v>
      </c>
      <c r="G428">
        <v>313.05</v>
      </c>
      <c r="H428" t="s">
        <v>71</v>
      </c>
      <c r="I428" t="s">
        <v>80</v>
      </c>
      <c r="J428" s="1">
        <v>45651</v>
      </c>
      <c r="K428" s="1">
        <f>DATE(YEAR(subscriptions[[#This Row],[signup_date]]),MONTH(subscriptions[[#This Row],[signup_date]]),1)</f>
        <v>45627</v>
      </c>
      <c r="L428" t="s">
        <v>34</v>
      </c>
      <c r="M428" s="1"/>
      <c r="N428" s="1" t="str">
        <f>IF(subscriptions[[#This Row],[churn_date]]="","",DATE(YEAR(subscriptions[[#This Row],[churn_date]]),MONTH(subscriptions[[#This Row],[churn_date]]),1))</f>
        <v/>
      </c>
      <c r="O428" t="s">
        <v>38</v>
      </c>
      <c r="P428">
        <v>6</v>
      </c>
      <c r="Q428">
        <v>7</v>
      </c>
      <c r="R428">
        <v>37</v>
      </c>
      <c r="S428" t="str">
        <f t="shared" si="6"/>
        <v>Moderate Usage</v>
      </c>
      <c r="T428" t="s">
        <v>34</v>
      </c>
    </row>
    <row r="429" spans="1:20" x14ac:dyDescent="0.3">
      <c r="A429" t="s">
        <v>493</v>
      </c>
      <c r="B429" t="s">
        <v>40</v>
      </c>
      <c r="C429" t="s">
        <v>27</v>
      </c>
      <c r="D429" t="s">
        <v>46</v>
      </c>
      <c r="E429" t="s">
        <v>47</v>
      </c>
      <c r="F429">
        <v>11</v>
      </c>
      <c r="G429">
        <v>72.5</v>
      </c>
      <c r="H429" t="s">
        <v>30</v>
      </c>
      <c r="I429" t="s">
        <v>31</v>
      </c>
      <c r="J429" s="1">
        <v>45948</v>
      </c>
      <c r="K429" s="1">
        <f>DATE(YEAR(subscriptions[[#This Row],[signup_date]]),MONTH(subscriptions[[#This Row],[signup_date]]),1)</f>
        <v>45931</v>
      </c>
      <c r="L429" t="s">
        <v>34</v>
      </c>
      <c r="M429" s="1"/>
      <c r="N429" s="1" t="str">
        <f>IF(subscriptions[[#This Row],[churn_date]]="","",DATE(YEAR(subscriptions[[#This Row],[churn_date]]),MONTH(subscriptions[[#This Row],[churn_date]]),1))</f>
        <v/>
      </c>
      <c r="O429" t="s">
        <v>38</v>
      </c>
      <c r="P429">
        <v>1</v>
      </c>
      <c r="Q429">
        <v>4</v>
      </c>
      <c r="R429">
        <v>24</v>
      </c>
      <c r="S429" t="str">
        <f t="shared" si="6"/>
        <v>Moderate Usage</v>
      </c>
      <c r="T429" t="s">
        <v>34</v>
      </c>
    </row>
    <row r="430" spans="1:20" x14ac:dyDescent="0.3">
      <c r="A430" t="s">
        <v>494</v>
      </c>
      <c r="B430" t="s">
        <v>26</v>
      </c>
      <c r="C430" t="s">
        <v>27</v>
      </c>
      <c r="D430" t="s">
        <v>60</v>
      </c>
      <c r="E430" t="s">
        <v>47</v>
      </c>
      <c r="F430">
        <v>15</v>
      </c>
      <c r="G430">
        <v>244.9</v>
      </c>
      <c r="H430" t="s">
        <v>71</v>
      </c>
      <c r="I430" t="s">
        <v>48</v>
      </c>
      <c r="J430" s="1">
        <v>45817</v>
      </c>
      <c r="K430" s="1">
        <f>DATE(YEAR(subscriptions[[#This Row],[signup_date]]),MONTH(subscriptions[[#This Row],[signup_date]]),1)</f>
        <v>45809</v>
      </c>
      <c r="L430" t="s">
        <v>34</v>
      </c>
      <c r="M430" s="1"/>
      <c r="N430" s="1" t="str">
        <f>IF(subscriptions[[#This Row],[churn_date]]="","",DATE(YEAR(subscriptions[[#This Row],[churn_date]]),MONTH(subscriptions[[#This Row],[churn_date]]),1))</f>
        <v/>
      </c>
      <c r="O430" t="s">
        <v>38</v>
      </c>
      <c r="P430">
        <v>8</v>
      </c>
      <c r="Q430">
        <v>5</v>
      </c>
      <c r="R430">
        <v>32</v>
      </c>
      <c r="S430" t="str">
        <f t="shared" si="6"/>
        <v>Moderate Usage</v>
      </c>
      <c r="T430" t="s">
        <v>34</v>
      </c>
    </row>
    <row r="431" spans="1:20" x14ac:dyDescent="0.3">
      <c r="A431" t="s">
        <v>495</v>
      </c>
      <c r="B431" t="s">
        <v>45</v>
      </c>
      <c r="C431" t="s">
        <v>27</v>
      </c>
      <c r="D431" t="s">
        <v>73</v>
      </c>
      <c r="E431" t="s">
        <v>47</v>
      </c>
      <c r="F431">
        <v>20</v>
      </c>
      <c r="G431">
        <v>766.15</v>
      </c>
      <c r="H431" t="s">
        <v>54</v>
      </c>
      <c r="I431" t="s">
        <v>48</v>
      </c>
      <c r="J431" s="1">
        <v>45966</v>
      </c>
      <c r="K431" s="1">
        <f>DATE(YEAR(subscriptions[[#This Row],[signup_date]]),MONTH(subscriptions[[#This Row],[signup_date]]),1)</f>
        <v>45962</v>
      </c>
      <c r="L431" t="s">
        <v>34</v>
      </c>
      <c r="M431" s="1"/>
      <c r="N431" s="1" t="str">
        <f>IF(subscriptions[[#This Row],[churn_date]]="","",DATE(YEAR(subscriptions[[#This Row],[churn_date]]),MONTH(subscriptions[[#This Row],[churn_date]]),1))</f>
        <v/>
      </c>
      <c r="O431" t="s">
        <v>38</v>
      </c>
      <c r="P431">
        <v>2</v>
      </c>
      <c r="Q431">
        <v>9</v>
      </c>
      <c r="R431">
        <v>39</v>
      </c>
      <c r="S431" t="str">
        <f t="shared" si="6"/>
        <v>Moderate Usage</v>
      </c>
      <c r="T431" t="s">
        <v>34</v>
      </c>
    </row>
    <row r="432" spans="1:20" x14ac:dyDescent="0.3">
      <c r="A432" t="s">
        <v>496</v>
      </c>
      <c r="B432" t="s">
        <v>40</v>
      </c>
      <c r="C432" t="s">
        <v>36</v>
      </c>
      <c r="D432" t="s">
        <v>46</v>
      </c>
      <c r="E432" t="s">
        <v>47</v>
      </c>
      <c r="F432">
        <v>27</v>
      </c>
      <c r="G432">
        <v>120.78</v>
      </c>
      <c r="H432" t="s">
        <v>30</v>
      </c>
      <c r="I432" t="s">
        <v>66</v>
      </c>
      <c r="J432" s="1">
        <v>45933</v>
      </c>
      <c r="K432" s="1">
        <f>DATE(YEAR(subscriptions[[#This Row],[signup_date]]),MONTH(subscriptions[[#This Row],[signup_date]]),1)</f>
        <v>45931</v>
      </c>
      <c r="L432" t="s">
        <v>34</v>
      </c>
      <c r="M432" s="1"/>
      <c r="N432" s="1" t="str">
        <f>IF(subscriptions[[#This Row],[churn_date]]="","",DATE(YEAR(subscriptions[[#This Row],[churn_date]]),MONTH(subscriptions[[#This Row],[churn_date]]),1))</f>
        <v/>
      </c>
      <c r="O432" t="s">
        <v>38</v>
      </c>
      <c r="P432">
        <v>3</v>
      </c>
      <c r="Q432">
        <v>8</v>
      </c>
      <c r="R432">
        <v>22</v>
      </c>
      <c r="S432" t="str">
        <f t="shared" si="6"/>
        <v>Moderate Usage</v>
      </c>
      <c r="T432" t="s">
        <v>34</v>
      </c>
    </row>
    <row r="433" spans="1:20" x14ac:dyDescent="0.3">
      <c r="A433" t="s">
        <v>497</v>
      </c>
      <c r="B433" t="s">
        <v>26</v>
      </c>
      <c r="C433" t="s">
        <v>36</v>
      </c>
      <c r="D433" t="s">
        <v>73</v>
      </c>
      <c r="E433" t="s">
        <v>29</v>
      </c>
      <c r="F433">
        <v>28</v>
      </c>
      <c r="G433">
        <v>339.11</v>
      </c>
      <c r="H433" t="s">
        <v>30</v>
      </c>
      <c r="I433" t="s">
        <v>31</v>
      </c>
      <c r="J433" s="1">
        <v>45787</v>
      </c>
      <c r="K433" s="1">
        <f>DATE(YEAR(subscriptions[[#This Row],[signup_date]]),MONTH(subscriptions[[#This Row],[signup_date]]),1)</f>
        <v>45778</v>
      </c>
      <c r="L433" t="s">
        <v>34</v>
      </c>
      <c r="M433" s="1"/>
      <c r="N433" s="1" t="str">
        <f>IF(subscriptions[[#This Row],[churn_date]]="","",DATE(YEAR(subscriptions[[#This Row],[churn_date]]),MONTH(subscriptions[[#This Row],[churn_date]]),1))</f>
        <v/>
      </c>
      <c r="O433" t="s">
        <v>38</v>
      </c>
      <c r="P433">
        <v>2</v>
      </c>
      <c r="Q433">
        <v>1</v>
      </c>
      <c r="R433">
        <v>51</v>
      </c>
      <c r="S433" t="str">
        <f t="shared" si="6"/>
        <v>High Usage</v>
      </c>
      <c r="T433" t="s">
        <v>34</v>
      </c>
    </row>
    <row r="434" spans="1:20" x14ac:dyDescent="0.3">
      <c r="A434" t="s">
        <v>498</v>
      </c>
      <c r="B434" t="s">
        <v>82</v>
      </c>
      <c r="C434" t="s">
        <v>27</v>
      </c>
      <c r="D434" t="s">
        <v>46</v>
      </c>
      <c r="E434" t="s">
        <v>47</v>
      </c>
      <c r="F434">
        <v>25</v>
      </c>
      <c r="G434">
        <v>2295.4</v>
      </c>
      <c r="H434" t="s">
        <v>30</v>
      </c>
      <c r="I434" t="s">
        <v>31</v>
      </c>
      <c r="J434" s="1">
        <v>45151</v>
      </c>
      <c r="K434" s="1">
        <f>DATE(YEAR(subscriptions[[#This Row],[signup_date]]),MONTH(subscriptions[[#This Row],[signup_date]]),1)</f>
        <v>45139</v>
      </c>
      <c r="L434" t="s">
        <v>32</v>
      </c>
      <c r="M434" s="1">
        <v>45347</v>
      </c>
      <c r="N434" s="1">
        <f>IF(subscriptions[[#This Row],[churn_date]]="","",DATE(YEAR(subscriptions[[#This Row],[churn_date]]),MONTH(subscriptions[[#This Row],[churn_date]]),1))</f>
        <v>45323</v>
      </c>
      <c r="O434" t="s">
        <v>74</v>
      </c>
      <c r="P434">
        <v>1</v>
      </c>
      <c r="Q434">
        <v>1</v>
      </c>
      <c r="R434">
        <v>34</v>
      </c>
      <c r="S434" t="str">
        <f t="shared" si="6"/>
        <v>Moderate Usage</v>
      </c>
      <c r="T434" t="s">
        <v>34</v>
      </c>
    </row>
    <row r="435" spans="1:20" x14ac:dyDescent="0.3">
      <c r="A435" t="s">
        <v>499</v>
      </c>
      <c r="B435" t="s">
        <v>40</v>
      </c>
      <c r="C435" t="s">
        <v>36</v>
      </c>
      <c r="D435" t="s">
        <v>46</v>
      </c>
      <c r="E435" t="s">
        <v>42</v>
      </c>
      <c r="F435">
        <v>222</v>
      </c>
      <c r="G435">
        <v>841.8</v>
      </c>
      <c r="H435" t="s">
        <v>54</v>
      </c>
      <c r="I435" t="s">
        <v>31</v>
      </c>
      <c r="J435" s="1">
        <v>44851</v>
      </c>
      <c r="K435" s="1">
        <f>DATE(YEAR(subscriptions[[#This Row],[signup_date]]),MONTH(subscriptions[[#This Row],[signup_date]]),1)</f>
        <v>44835</v>
      </c>
      <c r="L435" t="s">
        <v>32</v>
      </c>
      <c r="M435" s="1">
        <v>45631</v>
      </c>
      <c r="N435" s="1">
        <f>IF(subscriptions[[#This Row],[churn_date]]="","",DATE(YEAR(subscriptions[[#This Row],[churn_date]]),MONTH(subscriptions[[#This Row],[churn_date]]),1))</f>
        <v>45627</v>
      </c>
      <c r="O435" t="s">
        <v>57</v>
      </c>
      <c r="P435">
        <v>8</v>
      </c>
      <c r="Q435">
        <v>2</v>
      </c>
      <c r="R435">
        <v>47</v>
      </c>
      <c r="S435" t="str">
        <f t="shared" si="6"/>
        <v>Moderate Usage</v>
      </c>
      <c r="T435" t="s">
        <v>34</v>
      </c>
    </row>
    <row r="436" spans="1:20" x14ac:dyDescent="0.3">
      <c r="A436" t="s">
        <v>500</v>
      </c>
      <c r="B436" t="s">
        <v>40</v>
      </c>
      <c r="C436" t="s">
        <v>27</v>
      </c>
      <c r="D436" t="s">
        <v>28</v>
      </c>
      <c r="E436" t="s">
        <v>53</v>
      </c>
      <c r="F436">
        <v>4</v>
      </c>
      <c r="G436">
        <v>42.05</v>
      </c>
      <c r="H436" t="s">
        <v>54</v>
      </c>
      <c r="I436" t="s">
        <v>80</v>
      </c>
      <c r="J436" s="1">
        <v>44966</v>
      </c>
      <c r="K436" s="1">
        <f>DATE(YEAR(subscriptions[[#This Row],[signup_date]]),MONTH(subscriptions[[#This Row],[signup_date]]),1)</f>
        <v>44958</v>
      </c>
      <c r="L436" t="s">
        <v>32</v>
      </c>
      <c r="M436" s="1">
        <v>45165</v>
      </c>
      <c r="N436" s="1">
        <f>IF(subscriptions[[#This Row],[churn_date]]="","",DATE(YEAR(subscriptions[[#This Row],[churn_date]]),MONTH(subscriptions[[#This Row],[churn_date]]),1))</f>
        <v>45139</v>
      </c>
      <c r="O436" t="s">
        <v>57</v>
      </c>
      <c r="P436">
        <v>5</v>
      </c>
      <c r="Q436">
        <v>3</v>
      </c>
      <c r="R436">
        <v>10</v>
      </c>
      <c r="S436" t="str">
        <f t="shared" si="6"/>
        <v>Very Low Usage</v>
      </c>
      <c r="T436" t="s">
        <v>34</v>
      </c>
    </row>
    <row r="437" spans="1:20" x14ac:dyDescent="0.3">
      <c r="A437" t="s">
        <v>501</v>
      </c>
      <c r="B437" t="s">
        <v>45</v>
      </c>
      <c r="C437" t="s">
        <v>36</v>
      </c>
      <c r="D437" t="s">
        <v>41</v>
      </c>
      <c r="E437" t="s">
        <v>29</v>
      </c>
      <c r="F437">
        <v>48</v>
      </c>
      <c r="G437">
        <v>1361.66</v>
      </c>
      <c r="H437" t="s">
        <v>71</v>
      </c>
      <c r="I437" t="s">
        <v>80</v>
      </c>
      <c r="J437" s="1">
        <v>44906</v>
      </c>
      <c r="K437" s="1">
        <f>DATE(YEAR(subscriptions[[#This Row],[signup_date]]),MONTH(subscriptions[[#This Row],[signup_date]]),1)</f>
        <v>44896</v>
      </c>
      <c r="L437" t="s">
        <v>32</v>
      </c>
      <c r="M437" s="1">
        <v>45600</v>
      </c>
      <c r="N437" s="1">
        <f>IF(subscriptions[[#This Row],[churn_date]]="","",DATE(YEAR(subscriptions[[#This Row],[churn_date]]),MONTH(subscriptions[[#This Row],[churn_date]]),1))</f>
        <v>45597</v>
      </c>
      <c r="O437" t="s">
        <v>67</v>
      </c>
      <c r="P437">
        <v>7</v>
      </c>
      <c r="Q437">
        <v>1</v>
      </c>
      <c r="R437">
        <v>28</v>
      </c>
      <c r="S437" t="str">
        <f t="shared" si="6"/>
        <v>Moderate Usage</v>
      </c>
      <c r="T437" t="s">
        <v>34</v>
      </c>
    </row>
    <row r="438" spans="1:20" x14ac:dyDescent="0.3">
      <c r="A438" t="s">
        <v>502</v>
      </c>
      <c r="B438" t="s">
        <v>40</v>
      </c>
      <c r="C438" t="s">
        <v>27</v>
      </c>
      <c r="D438" t="s">
        <v>73</v>
      </c>
      <c r="E438" t="s">
        <v>47</v>
      </c>
      <c r="F438">
        <v>6</v>
      </c>
      <c r="G438">
        <v>50.75</v>
      </c>
      <c r="H438" t="s">
        <v>54</v>
      </c>
      <c r="I438" t="s">
        <v>66</v>
      </c>
      <c r="J438" s="1">
        <v>45026</v>
      </c>
      <c r="K438" s="1">
        <f>DATE(YEAR(subscriptions[[#This Row],[signup_date]]),MONTH(subscriptions[[#This Row],[signup_date]]),1)</f>
        <v>45017</v>
      </c>
      <c r="L438" t="s">
        <v>32</v>
      </c>
      <c r="M438" s="1">
        <v>45086</v>
      </c>
      <c r="N438" s="1">
        <f>IF(subscriptions[[#This Row],[churn_date]]="","",DATE(YEAR(subscriptions[[#This Row],[churn_date]]),MONTH(subscriptions[[#This Row],[churn_date]]),1))</f>
        <v>45078</v>
      </c>
      <c r="O438" t="s">
        <v>57</v>
      </c>
      <c r="P438">
        <v>5</v>
      </c>
      <c r="Q438">
        <v>3</v>
      </c>
      <c r="R438">
        <v>18</v>
      </c>
      <c r="S438" t="str">
        <f t="shared" si="6"/>
        <v>Very Low Usage</v>
      </c>
      <c r="T438" t="s">
        <v>34</v>
      </c>
    </row>
    <row r="439" spans="1:20" x14ac:dyDescent="0.3">
      <c r="A439" t="s">
        <v>503</v>
      </c>
      <c r="B439" t="s">
        <v>40</v>
      </c>
      <c r="C439" t="s">
        <v>36</v>
      </c>
      <c r="D439" t="s">
        <v>52</v>
      </c>
      <c r="E439" t="s">
        <v>29</v>
      </c>
      <c r="F439">
        <v>44</v>
      </c>
      <c r="G439">
        <v>183.64</v>
      </c>
      <c r="H439" t="s">
        <v>71</v>
      </c>
      <c r="I439" t="s">
        <v>48</v>
      </c>
      <c r="J439" s="1">
        <v>45597</v>
      </c>
      <c r="K439" s="1">
        <f>DATE(YEAR(subscriptions[[#This Row],[signup_date]]),MONTH(subscriptions[[#This Row],[signup_date]]),1)</f>
        <v>45597</v>
      </c>
      <c r="L439" t="s">
        <v>32</v>
      </c>
      <c r="M439" s="1">
        <v>45599</v>
      </c>
      <c r="N439" s="1">
        <f>IF(subscriptions[[#This Row],[churn_date]]="","",DATE(YEAR(subscriptions[[#This Row],[churn_date]]),MONTH(subscriptions[[#This Row],[churn_date]]),1))</f>
        <v>45597</v>
      </c>
      <c r="O439" t="s">
        <v>33</v>
      </c>
      <c r="P439">
        <v>5</v>
      </c>
      <c r="Q439">
        <v>6</v>
      </c>
      <c r="R439">
        <v>31</v>
      </c>
      <c r="S439" t="str">
        <f t="shared" si="6"/>
        <v>Moderate Usage</v>
      </c>
      <c r="T439" t="s">
        <v>34</v>
      </c>
    </row>
    <row r="440" spans="1:20" x14ac:dyDescent="0.3">
      <c r="A440" t="s">
        <v>504</v>
      </c>
      <c r="B440" t="s">
        <v>45</v>
      </c>
      <c r="C440" t="s">
        <v>27</v>
      </c>
      <c r="D440" t="s">
        <v>90</v>
      </c>
      <c r="E440" t="s">
        <v>42</v>
      </c>
      <c r="F440">
        <v>62</v>
      </c>
      <c r="G440">
        <v>2019.85</v>
      </c>
      <c r="H440" t="s">
        <v>37</v>
      </c>
      <c r="I440" t="s">
        <v>48</v>
      </c>
      <c r="J440" s="1">
        <v>45816</v>
      </c>
      <c r="K440" s="1">
        <f>DATE(YEAR(subscriptions[[#This Row],[signup_date]]),MONTH(subscriptions[[#This Row],[signup_date]]),1)</f>
        <v>45809</v>
      </c>
      <c r="L440" t="s">
        <v>32</v>
      </c>
      <c r="M440" s="1">
        <v>45856</v>
      </c>
      <c r="N440" s="1">
        <f>IF(subscriptions[[#This Row],[churn_date]]="","",DATE(YEAR(subscriptions[[#This Row],[churn_date]]),MONTH(subscriptions[[#This Row],[churn_date]]),1))</f>
        <v>45839</v>
      </c>
      <c r="O440" t="s">
        <v>67</v>
      </c>
      <c r="P440">
        <v>9</v>
      </c>
      <c r="Q440">
        <v>4</v>
      </c>
      <c r="R440">
        <v>34</v>
      </c>
      <c r="S440" t="str">
        <f t="shared" si="6"/>
        <v>Moderate Usage</v>
      </c>
      <c r="T440" t="s">
        <v>34</v>
      </c>
    </row>
    <row r="441" spans="1:20" x14ac:dyDescent="0.3">
      <c r="A441" t="s">
        <v>505</v>
      </c>
      <c r="B441" t="s">
        <v>45</v>
      </c>
      <c r="C441" t="s">
        <v>36</v>
      </c>
      <c r="D441" t="s">
        <v>63</v>
      </c>
      <c r="E441" t="s">
        <v>53</v>
      </c>
      <c r="F441">
        <v>8</v>
      </c>
      <c r="G441">
        <v>346.76</v>
      </c>
      <c r="H441" t="s">
        <v>54</v>
      </c>
      <c r="I441" t="s">
        <v>80</v>
      </c>
      <c r="J441" s="1">
        <v>45992</v>
      </c>
      <c r="K441" s="1">
        <f>DATE(YEAR(subscriptions[[#This Row],[signup_date]]),MONTH(subscriptions[[#This Row],[signup_date]]),1)</f>
        <v>45992</v>
      </c>
      <c r="L441" t="s">
        <v>34</v>
      </c>
      <c r="M441" s="1"/>
      <c r="N441" s="1" t="str">
        <f>IF(subscriptions[[#This Row],[churn_date]]="","",DATE(YEAR(subscriptions[[#This Row],[churn_date]]),MONTH(subscriptions[[#This Row],[churn_date]]),1))</f>
        <v/>
      </c>
      <c r="O441" t="s">
        <v>38</v>
      </c>
      <c r="P441">
        <v>1</v>
      </c>
      <c r="Q441">
        <v>10</v>
      </c>
      <c r="R441">
        <v>50</v>
      </c>
      <c r="S441" t="str">
        <f t="shared" si="6"/>
        <v>Moderate Usage</v>
      </c>
      <c r="T441" t="s">
        <v>34</v>
      </c>
    </row>
    <row r="442" spans="1:20" x14ac:dyDescent="0.3">
      <c r="A442" t="s">
        <v>506</v>
      </c>
      <c r="B442" t="s">
        <v>26</v>
      </c>
      <c r="C442" t="s">
        <v>36</v>
      </c>
      <c r="D442" t="s">
        <v>46</v>
      </c>
      <c r="E442" t="s">
        <v>56</v>
      </c>
      <c r="F442">
        <v>88</v>
      </c>
      <c r="G442">
        <v>943.46</v>
      </c>
      <c r="H442" t="s">
        <v>71</v>
      </c>
      <c r="I442" t="s">
        <v>31</v>
      </c>
      <c r="J442" s="1">
        <v>45151</v>
      </c>
      <c r="K442" s="1">
        <f>DATE(YEAR(subscriptions[[#This Row],[signup_date]]),MONTH(subscriptions[[#This Row],[signup_date]]),1)</f>
        <v>45139</v>
      </c>
      <c r="L442" t="s">
        <v>32</v>
      </c>
      <c r="M442" s="1">
        <v>45308</v>
      </c>
      <c r="N442" s="1">
        <f>IF(subscriptions[[#This Row],[churn_date]]="","",DATE(YEAR(subscriptions[[#This Row],[churn_date]]),MONTH(subscriptions[[#This Row],[churn_date]]),1))</f>
        <v>45292</v>
      </c>
      <c r="O442" t="s">
        <v>61</v>
      </c>
      <c r="P442">
        <v>8</v>
      </c>
      <c r="Q442">
        <v>4</v>
      </c>
      <c r="R442">
        <v>44</v>
      </c>
      <c r="S442" t="str">
        <f t="shared" si="6"/>
        <v>Moderate Usage</v>
      </c>
      <c r="T442" t="s">
        <v>34</v>
      </c>
    </row>
    <row r="443" spans="1:20" x14ac:dyDescent="0.3">
      <c r="A443" t="s">
        <v>507</v>
      </c>
      <c r="B443" t="s">
        <v>45</v>
      </c>
      <c r="C443" t="s">
        <v>36</v>
      </c>
      <c r="D443" t="s">
        <v>63</v>
      </c>
      <c r="E443" t="s">
        <v>29</v>
      </c>
      <c r="F443">
        <v>54</v>
      </c>
      <c r="G443">
        <v>1513.89</v>
      </c>
      <c r="H443" t="s">
        <v>71</v>
      </c>
      <c r="I443" t="s">
        <v>66</v>
      </c>
      <c r="J443" s="1">
        <v>45387</v>
      </c>
      <c r="K443" s="1">
        <f>DATE(YEAR(subscriptions[[#This Row],[signup_date]]),MONTH(subscriptions[[#This Row],[signup_date]]),1)</f>
        <v>45383</v>
      </c>
      <c r="L443" t="s">
        <v>34</v>
      </c>
      <c r="M443" s="1"/>
      <c r="N443" s="1" t="str">
        <f>IF(subscriptions[[#This Row],[churn_date]]="","",DATE(YEAR(subscriptions[[#This Row],[churn_date]]),MONTH(subscriptions[[#This Row],[churn_date]]),1))</f>
        <v/>
      </c>
      <c r="O443" t="s">
        <v>38</v>
      </c>
      <c r="P443">
        <v>10</v>
      </c>
      <c r="Q443">
        <v>10</v>
      </c>
      <c r="R443">
        <v>33</v>
      </c>
      <c r="S443" t="str">
        <f t="shared" si="6"/>
        <v>Moderate Usage</v>
      </c>
      <c r="T443" t="s">
        <v>32</v>
      </c>
    </row>
    <row r="444" spans="1:20" x14ac:dyDescent="0.3">
      <c r="A444" t="s">
        <v>508</v>
      </c>
      <c r="B444" t="s">
        <v>26</v>
      </c>
      <c r="C444" t="s">
        <v>27</v>
      </c>
      <c r="D444" t="s">
        <v>79</v>
      </c>
      <c r="E444" t="s">
        <v>29</v>
      </c>
      <c r="F444">
        <v>58</v>
      </c>
      <c r="G444">
        <v>754.45</v>
      </c>
      <c r="H444" t="s">
        <v>30</v>
      </c>
      <c r="I444" t="s">
        <v>31</v>
      </c>
      <c r="J444" s="1">
        <v>45105</v>
      </c>
      <c r="K444" s="1">
        <f>DATE(YEAR(subscriptions[[#This Row],[signup_date]]),MONTH(subscriptions[[#This Row],[signup_date]]),1)</f>
        <v>45078</v>
      </c>
      <c r="L444" t="s">
        <v>34</v>
      </c>
      <c r="M444" s="1"/>
      <c r="N444" s="1" t="str">
        <f>IF(subscriptions[[#This Row],[churn_date]]="","",DATE(YEAR(subscriptions[[#This Row],[churn_date]]),MONTH(subscriptions[[#This Row],[churn_date]]),1))</f>
        <v/>
      </c>
      <c r="O444" t="s">
        <v>38</v>
      </c>
      <c r="P444">
        <v>11</v>
      </c>
      <c r="Q444">
        <v>5</v>
      </c>
      <c r="R444">
        <v>84</v>
      </c>
      <c r="S444" t="str">
        <f t="shared" si="6"/>
        <v>Very High Usage</v>
      </c>
      <c r="T444" t="s">
        <v>34</v>
      </c>
    </row>
    <row r="445" spans="1:20" x14ac:dyDescent="0.3">
      <c r="A445" t="s">
        <v>509</v>
      </c>
      <c r="B445" t="s">
        <v>45</v>
      </c>
      <c r="C445" t="s">
        <v>27</v>
      </c>
      <c r="D445" t="s">
        <v>73</v>
      </c>
      <c r="E445" t="s">
        <v>53</v>
      </c>
      <c r="F445">
        <v>5</v>
      </c>
      <c r="G445">
        <v>318.39999999999998</v>
      </c>
      <c r="H445" t="s">
        <v>30</v>
      </c>
      <c r="I445" t="s">
        <v>80</v>
      </c>
      <c r="J445" s="1">
        <v>45223</v>
      </c>
      <c r="K445" s="1">
        <f>DATE(YEAR(subscriptions[[#This Row],[signup_date]]),MONTH(subscriptions[[#This Row],[signup_date]]),1)</f>
        <v>45200</v>
      </c>
      <c r="L445" t="s">
        <v>34</v>
      </c>
      <c r="M445" s="1"/>
      <c r="N445" s="1" t="str">
        <f>IF(subscriptions[[#This Row],[churn_date]]="","",DATE(YEAR(subscriptions[[#This Row],[churn_date]]),MONTH(subscriptions[[#This Row],[churn_date]]),1))</f>
        <v/>
      </c>
      <c r="O445" t="s">
        <v>38</v>
      </c>
      <c r="P445">
        <v>9</v>
      </c>
      <c r="Q445">
        <v>9</v>
      </c>
      <c r="R445">
        <v>59</v>
      </c>
      <c r="S445" t="str">
        <f t="shared" si="6"/>
        <v>High Usage</v>
      </c>
      <c r="T445" t="s">
        <v>32</v>
      </c>
    </row>
    <row r="446" spans="1:20" x14ac:dyDescent="0.3">
      <c r="A446" t="s">
        <v>510</v>
      </c>
      <c r="B446" t="s">
        <v>40</v>
      </c>
      <c r="C446" t="s">
        <v>27</v>
      </c>
      <c r="D446" t="s">
        <v>46</v>
      </c>
      <c r="E446" t="s">
        <v>42</v>
      </c>
      <c r="F446">
        <v>254</v>
      </c>
      <c r="G446">
        <v>1129.55</v>
      </c>
      <c r="H446" t="s">
        <v>54</v>
      </c>
      <c r="I446" t="s">
        <v>31</v>
      </c>
      <c r="J446" s="1">
        <v>45779</v>
      </c>
      <c r="K446" s="1">
        <f>DATE(YEAR(subscriptions[[#This Row],[signup_date]]),MONTH(subscriptions[[#This Row],[signup_date]]),1)</f>
        <v>45778</v>
      </c>
      <c r="L446" t="s">
        <v>34</v>
      </c>
      <c r="M446" s="1"/>
      <c r="N446" s="1" t="str">
        <f>IF(subscriptions[[#This Row],[churn_date]]="","",DATE(YEAR(subscriptions[[#This Row],[churn_date]]),MONTH(subscriptions[[#This Row],[churn_date]]),1))</f>
        <v/>
      </c>
      <c r="O446" t="s">
        <v>38</v>
      </c>
      <c r="P446">
        <v>2</v>
      </c>
      <c r="Q446">
        <v>7</v>
      </c>
      <c r="R446">
        <v>42</v>
      </c>
      <c r="S446" t="str">
        <f t="shared" si="6"/>
        <v>Moderate Usage</v>
      </c>
      <c r="T446" t="s">
        <v>34</v>
      </c>
    </row>
    <row r="447" spans="1:20" x14ac:dyDescent="0.3">
      <c r="A447" t="s">
        <v>511</v>
      </c>
      <c r="B447" t="s">
        <v>45</v>
      </c>
      <c r="C447" t="s">
        <v>27</v>
      </c>
      <c r="D447" t="s">
        <v>52</v>
      </c>
      <c r="E447" t="s">
        <v>29</v>
      </c>
      <c r="F447">
        <v>30</v>
      </c>
      <c r="G447">
        <v>1064.6500000000001</v>
      </c>
      <c r="H447" t="s">
        <v>71</v>
      </c>
      <c r="I447" t="s">
        <v>48</v>
      </c>
      <c r="J447" s="1">
        <v>45072</v>
      </c>
      <c r="K447" s="1">
        <f>DATE(YEAR(subscriptions[[#This Row],[signup_date]]),MONTH(subscriptions[[#This Row],[signup_date]]),1)</f>
        <v>45047</v>
      </c>
      <c r="L447" t="s">
        <v>32</v>
      </c>
      <c r="M447" s="1">
        <v>45364</v>
      </c>
      <c r="N447" s="1">
        <f>IF(subscriptions[[#This Row],[churn_date]]="","",DATE(YEAR(subscriptions[[#This Row],[churn_date]]),MONTH(subscriptions[[#This Row],[churn_date]]),1))</f>
        <v>45352</v>
      </c>
      <c r="O447" t="s">
        <v>33</v>
      </c>
      <c r="P447">
        <v>10</v>
      </c>
      <c r="Q447">
        <v>3</v>
      </c>
      <c r="R447">
        <v>44</v>
      </c>
      <c r="S447" t="str">
        <f t="shared" si="6"/>
        <v>Moderate Usage</v>
      </c>
      <c r="T447" t="s">
        <v>34</v>
      </c>
    </row>
    <row r="448" spans="1:20" x14ac:dyDescent="0.3">
      <c r="A448" t="s">
        <v>512</v>
      </c>
      <c r="B448" t="s">
        <v>40</v>
      </c>
      <c r="C448" t="s">
        <v>27</v>
      </c>
      <c r="D448" t="s">
        <v>52</v>
      </c>
      <c r="E448" t="s">
        <v>53</v>
      </c>
      <c r="F448">
        <v>5</v>
      </c>
      <c r="G448">
        <v>46.4</v>
      </c>
      <c r="H448" t="s">
        <v>37</v>
      </c>
      <c r="I448" t="s">
        <v>66</v>
      </c>
      <c r="J448" s="1">
        <v>45216</v>
      </c>
      <c r="K448" s="1">
        <f>DATE(YEAR(subscriptions[[#This Row],[signup_date]]),MONTH(subscriptions[[#This Row],[signup_date]]),1)</f>
        <v>45200</v>
      </c>
      <c r="L448" t="s">
        <v>34</v>
      </c>
      <c r="M448" s="1"/>
      <c r="N448" s="1" t="str">
        <f>IF(subscriptions[[#This Row],[churn_date]]="","",DATE(YEAR(subscriptions[[#This Row],[churn_date]]),MONTH(subscriptions[[#This Row],[churn_date]]),1))</f>
        <v/>
      </c>
      <c r="O448" t="s">
        <v>38</v>
      </c>
      <c r="P448">
        <v>0</v>
      </c>
      <c r="Q448">
        <v>9</v>
      </c>
      <c r="R448">
        <v>46</v>
      </c>
      <c r="S448" t="str">
        <f t="shared" si="6"/>
        <v>Moderate Usage</v>
      </c>
      <c r="T448" t="s">
        <v>34</v>
      </c>
    </row>
    <row r="449" spans="1:20" x14ac:dyDescent="0.3">
      <c r="A449" t="s">
        <v>513</v>
      </c>
      <c r="B449" t="s">
        <v>45</v>
      </c>
      <c r="C449" t="s">
        <v>27</v>
      </c>
      <c r="D449" t="s">
        <v>73</v>
      </c>
      <c r="E449" t="s">
        <v>47</v>
      </c>
      <c r="F449">
        <v>31</v>
      </c>
      <c r="G449">
        <v>1094.5</v>
      </c>
      <c r="H449" t="s">
        <v>71</v>
      </c>
      <c r="I449" t="s">
        <v>31</v>
      </c>
      <c r="J449" s="1">
        <v>45658</v>
      </c>
      <c r="K449" s="1">
        <f>DATE(YEAR(subscriptions[[#This Row],[signup_date]]),MONTH(subscriptions[[#This Row],[signup_date]]),1)</f>
        <v>45658</v>
      </c>
      <c r="L449" t="s">
        <v>34</v>
      </c>
      <c r="M449" s="1"/>
      <c r="N449" s="1" t="str">
        <f>IF(subscriptions[[#This Row],[churn_date]]="","",DATE(YEAR(subscriptions[[#This Row],[churn_date]]),MONTH(subscriptions[[#This Row],[churn_date]]),1))</f>
        <v/>
      </c>
      <c r="O449" t="s">
        <v>38</v>
      </c>
      <c r="P449">
        <v>1</v>
      </c>
      <c r="Q449">
        <v>9</v>
      </c>
      <c r="R449">
        <v>69</v>
      </c>
      <c r="S449" t="str">
        <f t="shared" si="6"/>
        <v>High Usage</v>
      </c>
      <c r="T449" t="s">
        <v>34</v>
      </c>
    </row>
    <row r="450" spans="1:20" x14ac:dyDescent="0.3">
      <c r="A450" t="s">
        <v>514</v>
      </c>
      <c r="B450" t="s">
        <v>45</v>
      </c>
      <c r="C450" t="s">
        <v>27</v>
      </c>
      <c r="D450" t="s">
        <v>63</v>
      </c>
      <c r="E450" t="s">
        <v>42</v>
      </c>
      <c r="F450">
        <v>71</v>
      </c>
      <c r="G450">
        <v>2288.5</v>
      </c>
      <c r="H450" t="s">
        <v>71</v>
      </c>
      <c r="I450" t="s">
        <v>48</v>
      </c>
      <c r="J450" s="1">
        <v>45334</v>
      </c>
      <c r="K450" s="1">
        <f>DATE(YEAR(subscriptions[[#This Row],[signup_date]]),MONTH(subscriptions[[#This Row],[signup_date]]),1)</f>
        <v>45323</v>
      </c>
      <c r="L450" t="s">
        <v>32</v>
      </c>
      <c r="M450" s="1">
        <v>45360</v>
      </c>
      <c r="N450" s="1">
        <f>IF(subscriptions[[#This Row],[churn_date]]="","",DATE(YEAR(subscriptions[[#This Row],[churn_date]]),MONTH(subscriptions[[#This Row],[churn_date]]),1))</f>
        <v>45352</v>
      </c>
      <c r="O450" t="s">
        <v>74</v>
      </c>
      <c r="P450">
        <v>7</v>
      </c>
      <c r="Q450">
        <v>2</v>
      </c>
      <c r="R450">
        <v>24</v>
      </c>
      <c r="S450" t="str">
        <f t="shared" ref="S450:S513" si="7">IF(R450&lt;=20,"Very Low Usage",
IF(R450&lt;=50,"Moderate Usage",
IF(R450&lt;=80,"High Usage",
"Very High Usage")))</f>
        <v>Moderate Usage</v>
      </c>
      <c r="T450" t="s">
        <v>34</v>
      </c>
    </row>
    <row r="451" spans="1:20" x14ac:dyDescent="0.3">
      <c r="A451" t="s">
        <v>515</v>
      </c>
      <c r="B451" t="s">
        <v>26</v>
      </c>
      <c r="C451" t="s">
        <v>36</v>
      </c>
      <c r="D451" t="s">
        <v>28</v>
      </c>
      <c r="E451" t="s">
        <v>47</v>
      </c>
      <c r="F451">
        <v>8</v>
      </c>
      <c r="G451">
        <v>137.66</v>
      </c>
      <c r="H451" t="s">
        <v>43</v>
      </c>
      <c r="I451" t="s">
        <v>31</v>
      </c>
      <c r="J451" s="1">
        <v>46019</v>
      </c>
      <c r="K451" s="1">
        <f>DATE(YEAR(subscriptions[[#This Row],[signup_date]]),MONTH(subscriptions[[#This Row],[signup_date]]),1)</f>
        <v>45992</v>
      </c>
      <c r="L451" t="s">
        <v>34</v>
      </c>
      <c r="M451" s="1"/>
      <c r="N451" s="1" t="str">
        <f>IF(subscriptions[[#This Row],[churn_date]]="","",DATE(YEAR(subscriptions[[#This Row],[churn_date]]),MONTH(subscriptions[[#This Row],[churn_date]]),1))</f>
        <v/>
      </c>
      <c r="O451" t="s">
        <v>38</v>
      </c>
      <c r="P451">
        <v>0</v>
      </c>
      <c r="Q451">
        <v>8</v>
      </c>
      <c r="R451">
        <v>38</v>
      </c>
      <c r="S451" t="str">
        <f t="shared" si="7"/>
        <v>Moderate Usage</v>
      </c>
      <c r="T451" t="s">
        <v>34</v>
      </c>
    </row>
    <row r="452" spans="1:20" x14ac:dyDescent="0.3">
      <c r="A452" t="s">
        <v>516</v>
      </c>
      <c r="B452" t="s">
        <v>45</v>
      </c>
      <c r="C452" t="s">
        <v>27</v>
      </c>
      <c r="D452" t="s">
        <v>79</v>
      </c>
      <c r="E452" t="s">
        <v>47</v>
      </c>
      <c r="F452">
        <v>27</v>
      </c>
      <c r="G452">
        <v>975.1</v>
      </c>
      <c r="H452" t="s">
        <v>43</v>
      </c>
      <c r="I452" t="s">
        <v>31</v>
      </c>
      <c r="J452" s="1">
        <v>44986</v>
      </c>
      <c r="K452" s="1">
        <f>DATE(YEAR(subscriptions[[#This Row],[signup_date]]),MONTH(subscriptions[[#This Row],[signup_date]]),1)</f>
        <v>44986</v>
      </c>
      <c r="L452" t="s">
        <v>34</v>
      </c>
      <c r="M452" s="1"/>
      <c r="N452" s="1" t="str">
        <f>IF(subscriptions[[#This Row],[churn_date]]="","",DATE(YEAR(subscriptions[[#This Row],[churn_date]]),MONTH(subscriptions[[#This Row],[churn_date]]),1))</f>
        <v/>
      </c>
      <c r="O452" t="s">
        <v>38</v>
      </c>
      <c r="P452">
        <v>3</v>
      </c>
      <c r="Q452">
        <v>4</v>
      </c>
      <c r="R452">
        <v>89</v>
      </c>
      <c r="S452" t="str">
        <f t="shared" si="7"/>
        <v>Very High Usage</v>
      </c>
      <c r="T452" t="s">
        <v>34</v>
      </c>
    </row>
    <row r="453" spans="1:20" x14ac:dyDescent="0.3">
      <c r="A453" t="s">
        <v>517</v>
      </c>
      <c r="B453" t="s">
        <v>26</v>
      </c>
      <c r="C453" t="s">
        <v>27</v>
      </c>
      <c r="D453" t="s">
        <v>52</v>
      </c>
      <c r="E453" t="s">
        <v>47</v>
      </c>
      <c r="F453">
        <v>12</v>
      </c>
      <c r="G453">
        <v>209.35</v>
      </c>
      <c r="H453" t="s">
        <v>71</v>
      </c>
      <c r="I453" t="s">
        <v>31</v>
      </c>
      <c r="J453" s="1">
        <v>45821</v>
      </c>
      <c r="K453" s="1">
        <f>DATE(YEAR(subscriptions[[#This Row],[signup_date]]),MONTH(subscriptions[[#This Row],[signup_date]]),1)</f>
        <v>45809</v>
      </c>
      <c r="L453" t="s">
        <v>34</v>
      </c>
      <c r="M453" s="1"/>
      <c r="N453" s="1" t="str">
        <f>IF(subscriptions[[#This Row],[churn_date]]="","",DATE(YEAR(subscriptions[[#This Row],[churn_date]]),MONTH(subscriptions[[#This Row],[churn_date]]),1))</f>
        <v/>
      </c>
      <c r="O453" t="s">
        <v>38</v>
      </c>
      <c r="P453">
        <v>2</v>
      </c>
      <c r="Q453">
        <v>7</v>
      </c>
      <c r="R453">
        <v>82</v>
      </c>
      <c r="S453" t="str">
        <f t="shared" si="7"/>
        <v>Very High Usage</v>
      </c>
      <c r="T453" t="s">
        <v>34</v>
      </c>
    </row>
    <row r="454" spans="1:20" x14ac:dyDescent="0.3">
      <c r="A454" t="s">
        <v>518</v>
      </c>
      <c r="B454" t="s">
        <v>40</v>
      </c>
      <c r="C454" t="s">
        <v>27</v>
      </c>
      <c r="D454" t="s">
        <v>28</v>
      </c>
      <c r="E454" t="s">
        <v>53</v>
      </c>
      <c r="F454">
        <v>1</v>
      </c>
      <c r="G454">
        <v>29</v>
      </c>
      <c r="H454" t="s">
        <v>37</v>
      </c>
      <c r="I454" t="s">
        <v>80</v>
      </c>
      <c r="J454" s="1">
        <v>45193</v>
      </c>
      <c r="K454" s="1">
        <f>DATE(YEAR(subscriptions[[#This Row],[signup_date]]),MONTH(subscriptions[[#This Row],[signup_date]]),1)</f>
        <v>45170</v>
      </c>
      <c r="L454" t="s">
        <v>32</v>
      </c>
      <c r="M454" s="1">
        <v>45220</v>
      </c>
      <c r="N454" s="1">
        <f>IF(subscriptions[[#This Row],[churn_date]]="","",DATE(YEAR(subscriptions[[#This Row],[churn_date]]),MONTH(subscriptions[[#This Row],[churn_date]]),1))</f>
        <v>45200</v>
      </c>
      <c r="O454" t="s">
        <v>67</v>
      </c>
      <c r="P454">
        <v>2</v>
      </c>
      <c r="Q454">
        <v>1</v>
      </c>
      <c r="R454">
        <v>27</v>
      </c>
      <c r="S454" t="str">
        <f t="shared" si="7"/>
        <v>Moderate Usage</v>
      </c>
      <c r="T454" t="s">
        <v>34</v>
      </c>
    </row>
    <row r="455" spans="1:20" x14ac:dyDescent="0.3">
      <c r="A455" t="s">
        <v>519</v>
      </c>
      <c r="B455" t="s">
        <v>40</v>
      </c>
      <c r="C455" t="s">
        <v>27</v>
      </c>
      <c r="D455" t="s">
        <v>60</v>
      </c>
      <c r="E455" t="s">
        <v>53</v>
      </c>
      <c r="F455">
        <v>1</v>
      </c>
      <c r="G455">
        <v>29</v>
      </c>
      <c r="H455" t="s">
        <v>71</v>
      </c>
      <c r="I455" t="s">
        <v>48</v>
      </c>
      <c r="J455" s="1">
        <v>45847</v>
      </c>
      <c r="K455" s="1">
        <f>DATE(YEAR(subscriptions[[#This Row],[signup_date]]),MONTH(subscriptions[[#This Row],[signup_date]]),1)</f>
        <v>45839</v>
      </c>
      <c r="L455" t="s">
        <v>32</v>
      </c>
      <c r="M455" s="1">
        <v>45988</v>
      </c>
      <c r="N455" s="1">
        <f>IF(subscriptions[[#This Row],[churn_date]]="","",DATE(YEAR(subscriptions[[#This Row],[churn_date]]),MONTH(subscriptions[[#This Row],[churn_date]]),1))</f>
        <v>45962</v>
      </c>
      <c r="O455" t="s">
        <v>64</v>
      </c>
      <c r="P455">
        <v>12</v>
      </c>
      <c r="Q455">
        <v>3</v>
      </c>
      <c r="R455">
        <v>49</v>
      </c>
      <c r="S455" t="str">
        <f t="shared" si="7"/>
        <v>Moderate Usage</v>
      </c>
      <c r="T455" t="s">
        <v>34</v>
      </c>
    </row>
    <row r="456" spans="1:20" x14ac:dyDescent="0.3">
      <c r="A456" t="s">
        <v>520</v>
      </c>
      <c r="B456" t="s">
        <v>40</v>
      </c>
      <c r="C456" t="s">
        <v>27</v>
      </c>
      <c r="D456" t="s">
        <v>63</v>
      </c>
      <c r="E456" t="s">
        <v>47</v>
      </c>
      <c r="F456">
        <v>8</v>
      </c>
      <c r="G456">
        <v>59.45</v>
      </c>
      <c r="H456" t="s">
        <v>30</v>
      </c>
      <c r="I456" t="s">
        <v>48</v>
      </c>
      <c r="J456" s="1">
        <v>45900</v>
      </c>
      <c r="K456" s="1">
        <f>DATE(YEAR(subscriptions[[#This Row],[signup_date]]),MONTH(subscriptions[[#This Row],[signup_date]]),1)</f>
        <v>45870</v>
      </c>
      <c r="L456" t="s">
        <v>34</v>
      </c>
      <c r="M456" s="1"/>
      <c r="N456" s="1" t="str">
        <f>IF(subscriptions[[#This Row],[churn_date]]="","",DATE(YEAR(subscriptions[[#This Row],[churn_date]]),MONTH(subscriptions[[#This Row],[churn_date]]),1))</f>
        <v/>
      </c>
      <c r="O456" t="s">
        <v>38</v>
      </c>
      <c r="P456">
        <v>4</v>
      </c>
      <c r="Q456">
        <v>7</v>
      </c>
      <c r="R456">
        <v>34</v>
      </c>
      <c r="S456" t="str">
        <f t="shared" si="7"/>
        <v>Moderate Usage</v>
      </c>
      <c r="T456" t="s">
        <v>34</v>
      </c>
    </row>
    <row r="457" spans="1:20" x14ac:dyDescent="0.3">
      <c r="A457" t="s">
        <v>521</v>
      </c>
      <c r="B457" t="s">
        <v>26</v>
      </c>
      <c r="C457" t="s">
        <v>36</v>
      </c>
      <c r="D457" t="s">
        <v>73</v>
      </c>
      <c r="E457" t="s">
        <v>53</v>
      </c>
      <c r="F457">
        <v>4</v>
      </c>
      <c r="G457">
        <v>97.37</v>
      </c>
      <c r="H457" t="s">
        <v>37</v>
      </c>
      <c r="I457" t="s">
        <v>31</v>
      </c>
      <c r="J457" s="1">
        <v>45063</v>
      </c>
      <c r="K457" s="1">
        <f>DATE(YEAR(subscriptions[[#This Row],[signup_date]]),MONTH(subscriptions[[#This Row],[signup_date]]),1)</f>
        <v>45047</v>
      </c>
      <c r="L457" t="s">
        <v>34</v>
      </c>
      <c r="M457" s="1"/>
      <c r="N457" s="1" t="str">
        <f>IF(subscriptions[[#This Row],[churn_date]]="","",DATE(YEAR(subscriptions[[#This Row],[churn_date]]),MONTH(subscriptions[[#This Row],[churn_date]]),1))</f>
        <v/>
      </c>
      <c r="O457" t="s">
        <v>38</v>
      </c>
      <c r="P457">
        <v>6</v>
      </c>
      <c r="Q457">
        <v>8</v>
      </c>
      <c r="R457">
        <v>53</v>
      </c>
      <c r="S457" t="str">
        <f t="shared" si="7"/>
        <v>High Usage</v>
      </c>
      <c r="T457" t="s">
        <v>34</v>
      </c>
    </row>
    <row r="458" spans="1:20" x14ac:dyDescent="0.3">
      <c r="A458" t="s">
        <v>522</v>
      </c>
      <c r="B458" t="s">
        <v>26</v>
      </c>
      <c r="C458" t="s">
        <v>36</v>
      </c>
      <c r="D458" t="s">
        <v>79</v>
      </c>
      <c r="E458" t="s">
        <v>29</v>
      </c>
      <c r="F458">
        <v>39</v>
      </c>
      <c r="G458">
        <v>449.9</v>
      </c>
      <c r="H458" t="s">
        <v>37</v>
      </c>
      <c r="I458" t="s">
        <v>66</v>
      </c>
      <c r="J458" s="1">
        <v>45380</v>
      </c>
      <c r="K458" s="1">
        <f>DATE(YEAR(subscriptions[[#This Row],[signup_date]]),MONTH(subscriptions[[#This Row],[signup_date]]),1)</f>
        <v>45352</v>
      </c>
      <c r="L458" t="s">
        <v>34</v>
      </c>
      <c r="M458" s="1"/>
      <c r="N458" s="1" t="str">
        <f>IF(subscriptions[[#This Row],[churn_date]]="","",DATE(YEAR(subscriptions[[#This Row],[churn_date]]),MONTH(subscriptions[[#This Row],[churn_date]]),1))</f>
        <v/>
      </c>
      <c r="O458" t="s">
        <v>38</v>
      </c>
      <c r="P458">
        <v>0</v>
      </c>
      <c r="Q458">
        <v>5</v>
      </c>
      <c r="R458">
        <v>58</v>
      </c>
      <c r="S458" t="str">
        <f t="shared" si="7"/>
        <v>High Usage</v>
      </c>
      <c r="T458" t="s">
        <v>34</v>
      </c>
    </row>
    <row r="459" spans="1:20" x14ac:dyDescent="0.3">
      <c r="A459" t="s">
        <v>523</v>
      </c>
      <c r="B459" t="s">
        <v>45</v>
      </c>
      <c r="C459" t="s">
        <v>36</v>
      </c>
      <c r="D459" t="s">
        <v>50</v>
      </c>
      <c r="E459" t="s">
        <v>56</v>
      </c>
      <c r="F459">
        <v>73</v>
      </c>
      <c r="G459">
        <v>1995.97</v>
      </c>
      <c r="H459" t="s">
        <v>54</v>
      </c>
      <c r="I459" t="s">
        <v>31</v>
      </c>
      <c r="J459" s="1">
        <v>45749</v>
      </c>
      <c r="K459" s="1">
        <f>DATE(YEAR(subscriptions[[#This Row],[signup_date]]),MONTH(subscriptions[[#This Row],[signup_date]]),1)</f>
        <v>45748</v>
      </c>
      <c r="L459" t="s">
        <v>34</v>
      </c>
      <c r="M459" s="1"/>
      <c r="N459" s="1" t="str">
        <f>IF(subscriptions[[#This Row],[churn_date]]="","",DATE(YEAR(subscriptions[[#This Row],[churn_date]]),MONTH(subscriptions[[#This Row],[churn_date]]),1))</f>
        <v/>
      </c>
      <c r="O459" t="s">
        <v>38</v>
      </c>
      <c r="P459">
        <v>12</v>
      </c>
      <c r="Q459">
        <v>1</v>
      </c>
      <c r="R459">
        <v>15</v>
      </c>
      <c r="S459" t="str">
        <f t="shared" si="7"/>
        <v>Very Low Usage</v>
      </c>
      <c r="T459" t="s">
        <v>32</v>
      </c>
    </row>
    <row r="460" spans="1:20" x14ac:dyDescent="0.3">
      <c r="A460" t="s">
        <v>524</v>
      </c>
      <c r="B460" t="s">
        <v>26</v>
      </c>
      <c r="C460" t="s">
        <v>27</v>
      </c>
      <c r="D460" t="s">
        <v>46</v>
      </c>
      <c r="E460" t="s">
        <v>47</v>
      </c>
      <c r="F460">
        <v>7</v>
      </c>
      <c r="G460">
        <v>150.1</v>
      </c>
      <c r="H460" t="s">
        <v>43</v>
      </c>
      <c r="I460" t="s">
        <v>31</v>
      </c>
      <c r="J460" s="1">
        <v>44915</v>
      </c>
      <c r="K460" s="1">
        <f>DATE(YEAR(subscriptions[[#This Row],[signup_date]]),MONTH(subscriptions[[#This Row],[signup_date]]),1)</f>
        <v>44896</v>
      </c>
      <c r="L460" t="s">
        <v>32</v>
      </c>
      <c r="M460" s="1">
        <v>45232</v>
      </c>
      <c r="N460" s="1">
        <f>IF(subscriptions[[#This Row],[churn_date]]="","",DATE(YEAR(subscriptions[[#This Row],[churn_date]]),MONTH(subscriptions[[#This Row],[churn_date]]),1))</f>
        <v>45231</v>
      </c>
      <c r="O460" t="s">
        <v>93</v>
      </c>
      <c r="P460">
        <v>5</v>
      </c>
      <c r="Q460">
        <v>2</v>
      </c>
      <c r="R460">
        <v>12</v>
      </c>
      <c r="S460" t="str">
        <f t="shared" si="7"/>
        <v>Very Low Usage</v>
      </c>
      <c r="T460" t="s">
        <v>34</v>
      </c>
    </row>
    <row r="461" spans="1:20" x14ac:dyDescent="0.3">
      <c r="A461" t="s">
        <v>525</v>
      </c>
      <c r="B461" t="s">
        <v>45</v>
      </c>
      <c r="C461" t="s">
        <v>36</v>
      </c>
      <c r="D461" t="s">
        <v>41</v>
      </c>
      <c r="E461" t="s">
        <v>47</v>
      </c>
      <c r="F461">
        <v>33</v>
      </c>
      <c r="G461">
        <v>981.07</v>
      </c>
      <c r="H461" t="s">
        <v>43</v>
      </c>
      <c r="I461" t="s">
        <v>66</v>
      </c>
      <c r="J461" s="1">
        <v>44964</v>
      </c>
      <c r="K461" s="1">
        <f>DATE(YEAR(subscriptions[[#This Row],[signup_date]]),MONTH(subscriptions[[#This Row],[signup_date]]),1)</f>
        <v>44958</v>
      </c>
      <c r="L461" t="s">
        <v>34</v>
      </c>
      <c r="M461" s="1"/>
      <c r="N461" s="1" t="str">
        <f>IF(subscriptions[[#This Row],[churn_date]]="","",DATE(YEAR(subscriptions[[#This Row],[churn_date]]),MONTH(subscriptions[[#This Row],[churn_date]]),1))</f>
        <v/>
      </c>
      <c r="O461" t="s">
        <v>38</v>
      </c>
      <c r="P461">
        <v>1</v>
      </c>
      <c r="Q461">
        <v>8</v>
      </c>
      <c r="R461">
        <v>89</v>
      </c>
      <c r="S461" t="str">
        <f t="shared" si="7"/>
        <v>Very High Usage</v>
      </c>
      <c r="T461" t="s">
        <v>34</v>
      </c>
    </row>
    <row r="462" spans="1:20" x14ac:dyDescent="0.3">
      <c r="A462" t="s">
        <v>526</v>
      </c>
      <c r="B462" t="s">
        <v>40</v>
      </c>
      <c r="C462" t="s">
        <v>27</v>
      </c>
      <c r="D462" t="s">
        <v>73</v>
      </c>
      <c r="E462" t="s">
        <v>53</v>
      </c>
      <c r="F462">
        <v>3</v>
      </c>
      <c r="G462">
        <v>37.700000000000003</v>
      </c>
      <c r="H462" t="s">
        <v>43</v>
      </c>
      <c r="I462" t="s">
        <v>48</v>
      </c>
      <c r="J462" s="1">
        <v>45660</v>
      </c>
      <c r="K462" s="1">
        <f>DATE(YEAR(subscriptions[[#This Row],[signup_date]]),MONTH(subscriptions[[#This Row],[signup_date]]),1)</f>
        <v>45658</v>
      </c>
      <c r="L462" t="s">
        <v>34</v>
      </c>
      <c r="M462" s="1"/>
      <c r="N462" s="1" t="str">
        <f>IF(subscriptions[[#This Row],[churn_date]]="","",DATE(YEAR(subscriptions[[#This Row],[churn_date]]),MONTH(subscriptions[[#This Row],[churn_date]]),1))</f>
        <v/>
      </c>
      <c r="O462" t="s">
        <v>38</v>
      </c>
      <c r="P462">
        <v>10</v>
      </c>
      <c r="Q462">
        <v>7</v>
      </c>
      <c r="R462">
        <v>60</v>
      </c>
      <c r="S462" t="str">
        <f t="shared" si="7"/>
        <v>High Usage</v>
      </c>
      <c r="T462" t="s">
        <v>34</v>
      </c>
    </row>
    <row r="463" spans="1:20" x14ac:dyDescent="0.3">
      <c r="A463" t="s">
        <v>527</v>
      </c>
      <c r="B463" t="s">
        <v>26</v>
      </c>
      <c r="C463" t="s">
        <v>36</v>
      </c>
      <c r="D463" t="s">
        <v>73</v>
      </c>
      <c r="E463" t="s">
        <v>53</v>
      </c>
      <c r="F463">
        <v>5</v>
      </c>
      <c r="G463">
        <v>107.44</v>
      </c>
      <c r="H463" t="s">
        <v>37</v>
      </c>
      <c r="I463" t="s">
        <v>48</v>
      </c>
      <c r="J463" s="1">
        <v>45817</v>
      </c>
      <c r="K463" s="1">
        <f>DATE(YEAR(subscriptions[[#This Row],[signup_date]]),MONTH(subscriptions[[#This Row],[signup_date]]),1)</f>
        <v>45809</v>
      </c>
      <c r="L463" t="s">
        <v>34</v>
      </c>
      <c r="M463" s="1"/>
      <c r="N463" s="1" t="str">
        <f>IF(subscriptions[[#This Row],[churn_date]]="","",DATE(YEAR(subscriptions[[#This Row],[churn_date]]),MONTH(subscriptions[[#This Row],[churn_date]]),1))</f>
        <v/>
      </c>
      <c r="O463" t="s">
        <v>38</v>
      </c>
      <c r="P463">
        <v>2</v>
      </c>
      <c r="Q463">
        <v>9</v>
      </c>
      <c r="R463">
        <v>82</v>
      </c>
      <c r="S463" t="str">
        <f t="shared" si="7"/>
        <v>Very High Usage</v>
      </c>
      <c r="T463" t="s">
        <v>34</v>
      </c>
    </row>
    <row r="464" spans="1:20" x14ac:dyDescent="0.3">
      <c r="A464" t="s">
        <v>528</v>
      </c>
      <c r="B464" t="s">
        <v>26</v>
      </c>
      <c r="C464" t="s">
        <v>27</v>
      </c>
      <c r="D464" t="s">
        <v>73</v>
      </c>
      <c r="E464" t="s">
        <v>47</v>
      </c>
      <c r="F464">
        <v>5</v>
      </c>
      <c r="G464">
        <v>126.4</v>
      </c>
      <c r="H464" t="s">
        <v>109</v>
      </c>
      <c r="I464" t="s">
        <v>31</v>
      </c>
      <c r="J464" s="1">
        <v>44748</v>
      </c>
      <c r="K464" s="1">
        <f>DATE(YEAR(subscriptions[[#This Row],[signup_date]]),MONTH(subscriptions[[#This Row],[signup_date]]),1)</f>
        <v>44743</v>
      </c>
      <c r="L464" t="s">
        <v>32</v>
      </c>
      <c r="M464" s="1">
        <v>44842</v>
      </c>
      <c r="N464" s="1">
        <f>IF(subscriptions[[#This Row],[churn_date]]="","",DATE(YEAR(subscriptions[[#This Row],[churn_date]]),MONTH(subscriptions[[#This Row],[churn_date]]),1))</f>
        <v>44835</v>
      </c>
      <c r="O464" t="s">
        <v>74</v>
      </c>
      <c r="P464">
        <v>1</v>
      </c>
      <c r="Q464">
        <v>2</v>
      </c>
      <c r="R464">
        <v>17</v>
      </c>
      <c r="S464" t="str">
        <f t="shared" si="7"/>
        <v>Very Low Usage</v>
      </c>
      <c r="T464" t="s">
        <v>34</v>
      </c>
    </row>
    <row r="465" spans="1:20" x14ac:dyDescent="0.3">
      <c r="A465" t="s">
        <v>529</v>
      </c>
      <c r="B465" t="s">
        <v>40</v>
      </c>
      <c r="C465" t="s">
        <v>36</v>
      </c>
      <c r="D465" t="s">
        <v>46</v>
      </c>
      <c r="E465" t="s">
        <v>29</v>
      </c>
      <c r="F465">
        <v>59</v>
      </c>
      <c r="G465">
        <v>239.1</v>
      </c>
      <c r="H465" t="s">
        <v>71</v>
      </c>
      <c r="I465" t="s">
        <v>31</v>
      </c>
      <c r="J465" s="1">
        <v>45948</v>
      </c>
      <c r="K465" s="1">
        <f>DATE(YEAR(subscriptions[[#This Row],[signup_date]]),MONTH(subscriptions[[#This Row],[signup_date]]),1)</f>
        <v>45931</v>
      </c>
      <c r="L465" t="s">
        <v>34</v>
      </c>
      <c r="M465" s="1"/>
      <c r="N465" s="1" t="str">
        <f>IF(subscriptions[[#This Row],[churn_date]]="","",DATE(YEAR(subscriptions[[#This Row],[churn_date]]),MONTH(subscriptions[[#This Row],[churn_date]]),1))</f>
        <v/>
      </c>
      <c r="O465" t="s">
        <v>38</v>
      </c>
      <c r="P465">
        <v>12</v>
      </c>
      <c r="Q465">
        <v>9</v>
      </c>
      <c r="R465">
        <v>72</v>
      </c>
      <c r="S465" t="str">
        <f t="shared" si="7"/>
        <v>High Usage</v>
      </c>
      <c r="T465" t="s">
        <v>34</v>
      </c>
    </row>
    <row r="466" spans="1:20" x14ac:dyDescent="0.3">
      <c r="A466" t="s">
        <v>530</v>
      </c>
      <c r="B466" t="s">
        <v>26</v>
      </c>
      <c r="C466" t="s">
        <v>27</v>
      </c>
      <c r="D466" t="s">
        <v>73</v>
      </c>
      <c r="E466" t="s">
        <v>53</v>
      </c>
      <c r="F466">
        <v>1</v>
      </c>
      <c r="G466">
        <v>79</v>
      </c>
      <c r="H466" t="s">
        <v>37</v>
      </c>
      <c r="I466" t="s">
        <v>48</v>
      </c>
      <c r="J466" s="1">
        <v>46015</v>
      </c>
      <c r="K466" s="1">
        <f>DATE(YEAR(subscriptions[[#This Row],[signup_date]]),MONTH(subscriptions[[#This Row],[signup_date]]),1)</f>
        <v>45992</v>
      </c>
      <c r="L466" t="s">
        <v>34</v>
      </c>
      <c r="M466" s="1"/>
      <c r="N466" s="1" t="str">
        <f>IF(subscriptions[[#This Row],[churn_date]]="","",DATE(YEAR(subscriptions[[#This Row],[churn_date]]),MONTH(subscriptions[[#This Row],[churn_date]]),1))</f>
        <v/>
      </c>
      <c r="O466" t="s">
        <v>38</v>
      </c>
      <c r="P466">
        <v>11</v>
      </c>
      <c r="Q466">
        <v>5</v>
      </c>
      <c r="R466">
        <v>84</v>
      </c>
      <c r="S466" t="str">
        <f t="shared" si="7"/>
        <v>Very High Usage</v>
      </c>
      <c r="T466" t="s">
        <v>34</v>
      </c>
    </row>
    <row r="467" spans="1:20" x14ac:dyDescent="0.3">
      <c r="A467" t="s">
        <v>531</v>
      </c>
      <c r="B467" t="s">
        <v>45</v>
      </c>
      <c r="C467" t="s">
        <v>36</v>
      </c>
      <c r="D467" t="s">
        <v>41</v>
      </c>
      <c r="E467" t="s">
        <v>29</v>
      </c>
      <c r="F467">
        <v>35</v>
      </c>
      <c r="G467">
        <v>1031.82</v>
      </c>
      <c r="H467" t="s">
        <v>71</v>
      </c>
      <c r="I467" t="s">
        <v>48</v>
      </c>
      <c r="J467" s="1">
        <v>45409</v>
      </c>
      <c r="K467" s="1">
        <f>DATE(YEAR(subscriptions[[#This Row],[signup_date]]),MONTH(subscriptions[[#This Row],[signup_date]]),1)</f>
        <v>45383</v>
      </c>
      <c r="L467" t="s">
        <v>34</v>
      </c>
      <c r="M467" s="1"/>
      <c r="N467" s="1" t="str">
        <f>IF(subscriptions[[#This Row],[churn_date]]="","",DATE(YEAR(subscriptions[[#This Row],[churn_date]]),MONTH(subscriptions[[#This Row],[churn_date]]),1))</f>
        <v/>
      </c>
      <c r="O467" t="s">
        <v>38</v>
      </c>
      <c r="P467">
        <v>4</v>
      </c>
      <c r="Q467">
        <v>8</v>
      </c>
      <c r="R467">
        <v>41</v>
      </c>
      <c r="S467" t="str">
        <f t="shared" si="7"/>
        <v>Moderate Usage</v>
      </c>
      <c r="T467" t="s">
        <v>34</v>
      </c>
    </row>
    <row r="468" spans="1:20" x14ac:dyDescent="0.3">
      <c r="A468" t="s">
        <v>532</v>
      </c>
      <c r="B468" t="s">
        <v>40</v>
      </c>
      <c r="C468" t="s">
        <v>36</v>
      </c>
      <c r="D468" t="s">
        <v>63</v>
      </c>
      <c r="E468" t="s">
        <v>56</v>
      </c>
      <c r="F468">
        <v>112</v>
      </c>
      <c r="G468">
        <v>435.07</v>
      </c>
      <c r="H468" t="s">
        <v>54</v>
      </c>
      <c r="I468" t="s">
        <v>80</v>
      </c>
      <c r="J468" s="1">
        <v>44861</v>
      </c>
      <c r="K468" s="1">
        <f>DATE(YEAR(subscriptions[[#This Row],[signup_date]]),MONTH(subscriptions[[#This Row],[signup_date]]),1)</f>
        <v>44835</v>
      </c>
      <c r="L468" t="s">
        <v>32</v>
      </c>
      <c r="M468" s="1">
        <v>45096</v>
      </c>
      <c r="N468" s="1">
        <f>IF(subscriptions[[#This Row],[churn_date]]="","",DATE(YEAR(subscriptions[[#This Row],[churn_date]]),MONTH(subscriptions[[#This Row],[churn_date]]),1))</f>
        <v>45078</v>
      </c>
      <c r="O468" t="s">
        <v>61</v>
      </c>
      <c r="P468">
        <v>12</v>
      </c>
      <c r="Q468">
        <v>1</v>
      </c>
      <c r="R468">
        <v>34</v>
      </c>
      <c r="S468" t="str">
        <f t="shared" si="7"/>
        <v>Moderate Usage</v>
      </c>
      <c r="T468" t="s">
        <v>34</v>
      </c>
    </row>
    <row r="469" spans="1:20" x14ac:dyDescent="0.3">
      <c r="A469" t="s">
        <v>533</v>
      </c>
      <c r="B469" t="s">
        <v>82</v>
      </c>
      <c r="C469" t="s">
        <v>36</v>
      </c>
      <c r="D469" t="s">
        <v>52</v>
      </c>
      <c r="E469" t="s">
        <v>47</v>
      </c>
      <c r="F469">
        <v>10</v>
      </c>
      <c r="G469">
        <v>996.75</v>
      </c>
      <c r="H469" t="s">
        <v>54</v>
      </c>
      <c r="I469" t="s">
        <v>31</v>
      </c>
      <c r="J469" s="1">
        <v>45424</v>
      </c>
      <c r="K469" s="1">
        <f>DATE(YEAR(subscriptions[[#This Row],[signup_date]]),MONTH(subscriptions[[#This Row],[signup_date]]),1)</f>
        <v>45413</v>
      </c>
      <c r="L469" t="s">
        <v>34</v>
      </c>
      <c r="M469" s="1"/>
      <c r="N469" s="1" t="str">
        <f>IF(subscriptions[[#This Row],[churn_date]]="","",DATE(YEAR(subscriptions[[#This Row],[churn_date]]),MONTH(subscriptions[[#This Row],[churn_date]]),1))</f>
        <v/>
      </c>
      <c r="O469" t="s">
        <v>38</v>
      </c>
      <c r="P469">
        <v>3</v>
      </c>
      <c r="Q469">
        <v>1</v>
      </c>
      <c r="R469">
        <v>64</v>
      </c>
      <c r="S469" t="str">
        <f t="shared" si="7"/>
        <v>High Usage</v>
      </c>
      <c r="T469" t="s">
        <v>34</v>
      </c>
    </row>
    <row r="470" spans="1:20" x14ac:dyDescent="0.3">
      <c r="A470" t="s">
        <v>534</v>
      </c>
      <c r="B470" t="s">
        <v>45</v>
      </c>
      <c r="C470" t="s">
        <v>36</v>
      </c>
      <c r="D470" t="s">
        <v>60</v>
      </c>
      <c r="E470" t="s">
        <v>53</v>
      </c>
      <c r="F470">
        <v>3</v>
      </c>
      <c r="G470">
        <v>219.9</v>
      </c>
      <c r="H470" t="s">
        <v>71</v>
      </c>
      <c r="I470" t="s">
        <v>48</v>
      </c>
      <c r="J470" s="1">
        <v>46010</v>
      </c>
      <c r="K470" s="1">
        <f>DATE(YEAR(subscriptions[[#This Row],[signup_date]]),MONTH(subscriptions[[#This Row],[signup_date]]),1)</f>
        <v>45992</v>
      </c>
      <c r="L470" t="s">
        <v>34</v>
      </c>
      <c r="M470" s="1"/>
      <c r="N470" s="1" t="str">
        <f>IF(subscriptions[[#This Row],[churn_date]]="","",DATE(YEAR(subscriptions[[#This Row],[churn_date]]),MONTH(subscriptions[[#This Row],[churn_date]]),1))</f>
        <v/>
      </c>
      <c r="O470" t="s">
        <v>38</v>
      </c>
      <c r="P470">
        <v>8</v>
      </c>
      <c r="Q470">
        <v>2</v>
      </c>
      <c r="R470">
        <v>45</v>
      </c>
      <c r="S470" t="str">
        <f t="shared" si="7"/>
        <v>Moderate Usage</v>
      </c>
      <c r="T470" t="s">
        <v>34</v>
      </c>
    </row>
    <row r="471" spans="1:20" x14ac:dyDescent="0.3">
      <c r="A471" t="s">
        <v>535</v>
      </c>
      <c r="B471" t="s">
        <v>26</v>
      </c>
      <c r="C471" t="s">
        <v>27</v>
      </c>
      <c r="D471" t="s">
        <v>46</v>
      </c>
      <c r="E471" t="s">
        <v>53</v>
      </c>
      <c r="F471">
        <v>5</v>
      </c>
      <c r="G471">
        <v>126.4</v>
      </c>
      <c r="H471" t="s">
        <v>37</v>
      </c>
      <c r="I471" t="s">
        <v>31</v>
      </c>
      <c r="J471" s="1">
        <v>45577</v>
      </c>
      <c r="K471" s="1">
        <f>DATE(YEAR(subscriptions[[#This Row],[signup_date]]),MONTH(subscriptions[[#This Row],[signup_date]]),1)</f>
        <v>45566</v>
      </c>
      <c r="L471" t="s">
        <v>32</v>
      </c>
      <c r="M471" s="1">
        <v>45756</v>
      </c>
      <c r="N471" s="1">
        <f>IF(subscriptions[[#This Row],[churn_date]]="","",DATE(YEAR(subscriptions[[#This Row],[churn_date]]),MONTH(subscriptions[[#This Row],[churn_date]]),1))</f>
        <v>45748</v>
      </c>
      <c r="O471" t="s">
        <v>64</v>
      </c>
      <c r="P471">
        <v>4</v>
      </c>
      <c r="Q471">
        <v>1</v>
      </c>
      <c r="R471">
        <v>21</v>
      </c>
      <c r="S471" t="str">
        <f t="shared" si="7"/>
        <v>Moderate Usage</v>
      </c>
      <c r="T471" t="s">
        <v>34</v>
      </c>
    </row>
    <row r="472" spans="1:20" x14ac:dyDescent="0.3">
      <c r="A472" t="s">
        <v>536</v>
      </c>
      <c r="B472" t="s">
        <v>45</v>
      </c>
      <c r="C472" t="s">
        <v>36</v>
      </c>
      <c r="D472" t="s">
        <v>46</v>
      </c>
      <c r="E472" t="s">
        <v>29</v>
      </c>
      <c r="F472">
        <v>62</v>
      </c>
      <c r="G472">
        <v>1716.87</v>
      </c>
      <c r="H472" t="s">
        <v>71</v>
      </c>
      <c r="I472" t="s">
        <v>31</v>
      </c>
      <c r="J472" s="1">
        <v>45191</v>
      </c>
      <c r="K472" s="1">
        <f>DATE(YEAR(subscriptions[[#This Row],[signup_date]]),MONTH(subscriptions[[#This Row],[signup_date]]),1)</f>
        <v>45170</v>
      </c>
      <c r="L472" t="s">
        <v>32</v>
      </c>
      <c r="M472" s="1">
        <v>45811</v>
      </c>
      <c r="N472" s="1">
        <f>IF(subscriptions[[#This Row],[churn_date]]="","",DATE(YEAR(subscriptions[[#This Row],[churn_date]]),MONTH(subscriptions[[#This Row],[churn_date]]),1))</f>
        <v>45809</v>
      </c>
      <c r="O472" t="s">
        <v>74</v>
      </c>
      <c r="P472">
        <v>10</v>
      </c>
      <c r="Q472">
        <v>4</v>
      </c>
      <c r="R472">
        <v>28</v>
      </c>
      <c r="S472" t="str">
        <f t="shared" si="7"/>
        <v>Moderate Usage</v>
      </c>
      <c r="T472" t="s">
        <v>34</v>
      </c>
    </row>
    <row r="473" spans="1:20" x14ac:dyDescent="0.3">
      <c r="A473" t="s">
        <v>537</v>
      </c>
      <c r="B473" t="s">
        <v>40</v>
      </c>
      <c r="C473" t="s">
        <v>36</v>
      </c>
      <c r="D473" t="s">
        <v>46</v>
      </c>
      <c r="E473" t="s">
        <v>47</v>
      </c>
      <c r="F473">
        <v>5</v>
      </c>
      <c r="G473">
        <v>39.44</v>
      </c>
      <c r="H473" t="s">
        <v>43</v>
      </c>
      <c r="I473" t="s">
        <v>66</v>
      </c>
      <c r="J473" s="1">
        <v>44804</v>
      </c>
      <c r="K473" s="1">
        <f>DATE(YEAR(subscriptions[[#This Row],[signup_date]]),MONTH(subscriptions[[#This Row],[signup_date]]),1)</f>
        <v>44774</v>
      </c>
      <c r="L473" t="s">
        <v>32</v>
      </c>
      <c r="M473" s="1">
        <v>44920</v>
      </c>
      <c r="N473" s="1">
        <f>IF(subscriptions[[#This Row],[churn_date]]="","",DATE(YEAR(subscriptions[[#This Row],[churn_date]]),MONTH(subscriptions[[#This Row],[churn_date]]),1))</f>
        <v>44896</v>
      </c>
      <c r="O473" t="s">
        <v>57</v>
      </c>
      <c r="P473">
        <v>12</v>
      </c>
      <c r="Q473">
        <v>1</v>
      </c>
      <c r="R473">
        <v>44</v>
      </c>
      <c r="S473" t="str">
        <f t="shared" si="7"/>
        <v>Moderate Usage</v>
      </c>
      <c r="T473" t="s">
        <v>34</v>
      </c>
    </row>
    <row r="474" spans="1:20" x14ac:dyDescent="0.3">
      <c r="A474" t="s">
        <v>538</v>
      </c>
      <c r="B474" t="s">
        <v>40</v>
      </c>
      <c r="C474" t="s">
        <v>27</v>
      </c>
      <c r="D474" t="s">
        <v>41</v>
      </c>
      <c r="E474" t="s">
        <v>29</v>
      </c>
      <c r="F474">
        <v>48</v>
      </c>
      <c r="G474">
        <v>233.45</v>
      </c>
      <c r="H474" t="s">
        <v>37</v>
      </c>
      <c r="I474" t="s">
        <v>31</v>
      </c>
      <c r="J474" s="1">
        <v>45842</v>
      </c>
      <c r="K474" s="1">
        <f>DATE(YEAR(subscriptions[[#This Row],[signup_date]]),MONTH(subscriptions[[#This Row],[signup_date]]),1)</f>
        <v>45839</v>
      </c>
      <c r="L474" t="s">
        <v>34</v>
      </c>
      <c r="M474" s="1"/>
      <c r="N474" s="1" t="str">
        <f>IF(subscriptions[[#This Row],[churn_date]]="","",DATE(YEAR(subscriptions[[#This Row],[churn_date]]),MONTH(subscriptions[[#This Row],[churn_date]]),1))</f>
        <v/>
      </c>
      <c r="O474" t="s">
        <v>38</v>
      </c>
      <c r="P474">
        <v>0</v>
      </c>
      <c r="Q474">
        <v>7</v>
      </c>
      <c r="R474">
        <v>40</v>
      </c>
      <c r="S474" t="str">
        <f t="shared" si="7"/>
        <v>Moderate Usage</v>
      </c>
      <c r="T474" t="s">
        <v>34</v>
      </c>
    </row>
    <row r="475" spans="1:20" x14ac:dyDescent="0.3">
      <c r="A475" t="s">
        <v>539</v>
      </c>
      <c r="B475" t="s">
        <v>26</v>
      </c>
      <c r="C475" t="s">
        <v>36</v>
      </c>
      <c r="D475" t="s">
        <v>46</v>
      </c>
      <c r="E475" t="s">
        <v>47</v>
      </c>
      <c r="F475">
        <v>7</v>
      </c>
      <c r="G475">
        <v>127.59</v>
      </c>
      <c r="H475" t="s">
        <v>54</v>
      </c>
      <c r="I475" t="s">
        <v>48</v>
      </c>
      <c r="J475" s="1">
        <v>44880</v>
      </c>
      <c r="K475" s="1">
        <f>DATE(YEAR(subscriptions[[#This Row],[signup_date]]),MONTH(subscriptions[[#This Row],[signup_date]]),1)</f>
        <v>44866</v>
      </c>
      <c r="L475" t="s">
        <v>32</v>
      </c>
      <c r="M475" s="1">
        <v>44964</v>
      </c>
      <c r="N475" s="1">
        <f>IF(subscriptions[[#This Row],[churn_date]]="","",DATE(YEAR(subscriptions[[#This Row],[churn_date]]),MONTH(subscriptions[[#This Row],[churn_date]]),1))</f>
        <v>44958</v>
      </c>
      <c r="O475" t="s">
        <v>93</v>
      </c>
      <c r="P475">
        <v>1</v>
      </c>
      <c r="Q475">
        <v>5</v>
      </c>
      <c r="R475">
        <v>45</v>
      </c>
      <c r="S475" t="str">
        <f t="shared" si="7"/>
        <v>Moderate Usage</v>
      </c>
      <c r="T475" t="s">
        <v>34</v>
      </c>
    </row>
    <row r="476" spans="1:20" x14ac:dyDescent="0.3">
      <c r="A476" t="s">
        <v>540</v>
      </c>
      <c r="B476" t="s">
        <v>26</v>
      </c>
      <c r="C476" t="s">
        <v>36</v>
      </c>
      <c r="D476" t="s">
        <v>46</v>
      </c>
      <c r="E476" t="s">
        <v>53</v>
      </c>
      <c r="F476">
        <v>1</v>
      </c>
      <c r="G476">
        <v>67.150000000000006</v>
      </c>
      <c r="H476" t="s">
        <v>71</v>
      </c>
      <c r="I476" t="s">
        <v>31</v>
      </c>
      <c r="J476" s="1">
        <v>46019</v>
      </c>
      <c r="K476" s="1">
        <f>DATE(YEAR(subscriptions[[#This Row],[signup_date]]),MONTH(subscriptions[[#This Row],[signup_date]]),1)</f>
        <v>45992</v>
      </c>
      <c r="L476" t="s">
        <v>34</v>
      </c>
      <c r="M476" s="1"/>
      <c r="N476" s="1" t="str">
        <f>IF(subscriptions[[#This Row],[churn_date]]="","",DATE(YEAR(subscriptions[[#This Row],[churn_date]]),MONTH(subscriptions[[#This Row],[churn_date]]),1))</f>
        <v/>
      </c>
      <c r="O476" t="s">
        <v>38</v>
      </c>
      <c r="P476">
        <v>11</v>
      </c>
      <c r="Q476">
        <v>6</v>
      </c>
      <c r="R476">
        <v>30</v>
      </c>
      <c r="S476" t="str">
        <f t="shared" si="7"/>
        <v>Moderate Usage</v>
      </c>
      <c r="T476" t="s">
        <v>34</v>
      </c>
    </row>
    <row r="477" spans="1:20" x14ac:dyDescent="0.3">
      <c r="A477" t="s">
        <v>541</v>
      </c>
      <c r="B477" t="s">
        <v>26</v>
      </c>
      <c r="C477" t="s">
        <v>36</v>
      </c>
      <c r="D477" t="s">
        <v>46</v>
      </c>
      <c r="E477" t="s">
        <v>53</v>
      </c>
      <c r="F477">
        <v>2</v>
      </c>
      <c r="G477">
        <v>77.22</v>
      </c>
      <c r="H477" t="s">
        <v>30</v>
      </c>
      <c r="I477" t="s">
        <v>80</v>
      </c>
      <c r="J477" s="1">
        <v>45822</v>
      </c>
      <c r="K477" s="1">
        <f>DATE(YEAR(subscriptions[[#This Row],[signup_date]]),MONTH(subscriptions[[#This Row],[signup_date]]),1)</f>
        <v>45809</v>
      </c>
      <c r="L477" t="s">
        <v>34</v>
      </c>
      <c r="M477" s="1"/>
      <c r="N477" s="1" t="str">
        <f>IF(subscriptions[[#This Row],[churn_date]]="","",DATE(YEAR(subscriptions[[#This Row],[churn_date]]),MONTH(subscriptions[[#This Row],[churn_date]]),1))</f>
        <v/>
      </c>
      <c r="O477" t="s">
        <v>38</v>
      </c>
      <c r="P477">
        <v>1</v>
      </c>
      <c r="Q477">
        <v>3</v>
      </c>
      <c r="R477">
        <v>15</v>
      </c>
      <c r="S477" t="str">
        <f t="shared" si="7"/>
        <v>Very Low Usage</v>
      </c>
      <c r="T477" t="s">
        <v>34</v>
      </c>
    </row>
    <row r="478" spans="1:20" x14ac:dyDescent="0.3">
      <c r="A478" t="s">
        <v>542</v>
      </c>
      <c r="B478" t="s">
        <v>26</v>
      </c>
      <c r="C478" t="s">
        <v>27</v>
      </c>
      <c r="D478" t="s">
        <v>52</v>
      </c>
      <c r="E478" t="s">
        <v>29</v>
      </c>
      <c r="F478">
        <v>67</v>
      </c>
      <c r="G478">
        <v>861.1</v>
      </c>
      <c r="H478" t="s">
        <v>37</v>
      </c>
      <c r="I478" t="s">
        <v>66</v>
      </c>
      <c r="J478" s="1">
        <v>45822</v>
      </c>
      <c r="K478" s="1">
        <f>DATE(YEAR(subscriptions[[#This Row],[signup_date]]),MONTH(subscriptions[[#This Row],[signup_date]]),1)</f>
        <v>45809</v>
      </c>
      <c r="L478" t="s">
        <v>34</v>
      </c>
      <c r="M478" s="1"/>
      <c r="N478" s="1" t="str">
        <f>IF(subscriptions[[#This Row],[churn_date]]="","",DATE(YEAR(subscriptions[[#This Row],[churn_date]]),MONTH(subscriptions[[#This Row],[churn_date]]),1))</f>
        <v/>
      </c>
      <c r="O478" t="s">
        <v>38</v>
      </c>
      <c r="P478">
        <v>11</v>
      </c>
      <c r="Q478">
        <v>8</v>
      </c>
      <c r="R478">
        <v>76</v>
      </c>
      <c r="S478" t="str">
        <f t="shared" si="7"/>
        <v>High Usage</v>
      </c>
      <c r="T478" t="s">
        <v>34</v>
      </c>
    </row>
    <row r="479" spans="1:20" x14ac:dyDescent="0.3">
      <c r="A479" t="s">
        <v>543</v>
      </c>
      <c r="B479" t="s">
        <v>45</v>
      </c>
      <c r="C479" t="s">
        <v>27</v>
      </c>
      <c r="D479" t="s">
        <v>28</v>
      </c>
      <c r="E479" t="s">
        <v>53</v>
      </c>
      <c r="F479">
        <v>3</v>
      </c>
      <c r="G479">
        <v>258.7</v>
      </c>
      <c r="H479" t="s">
        <v>71</v>
      </c>
      <c r="I479" t="s">
        <v>48</v>
      </c>
      <c r="J479" s="1">
        <v>44609</v>
      </c>
      <c r="K479" s="1">
        <f>DATE(YEAR(subscriptions[[#This Row],[signup_date]]),MONTH(subscriptions[[#This Row],[signup_date]]),1)</f>
        <v>44593</v>
      </c>
      <c r="L479" t="s">
        <v>32</v>
      </c>
      <c r="M479" s="1">
        <v>45471</v>
      </c>
      <c r="N479" s="1">
        <f>IF(subscriptions[[#This Row],[churn_date]]="","",DATE(YEAR(subscriptions[[#This Row],[churn_date]]),MONTH(subscriptions[[#This Row],[churn_date]]),1))</f>
        <v>45444</v>
      </c>
      <c r="O479" t="s">
        <v>57</v>
      </c>
      <c r="P479">
        <v>1</v>
      </c>
      <c r="Q479">
        <v>1</v>
      </c>
      <c r="R479">
        <v>11</v>
      </c>
      <c r="S479" t="str">
        <f t="shared" si="7"/>
        <v>Very Low Usage</v>
      </c>
      <c r="T479" t="s">
        <v>34</v>
      </c>
    </row>
    <row r="480" spans="1:20" x14ac:dyDescent="0.3">
      <c r="A480" t="s">
        <v>544</v>
      </c>
      <c r="B480" t="s">
        <v>40</v>
      </c>
      <c r="C480" t="s">
        <v>27</v>
      </c>
      <c r="D480" t="s">
        <v>63</v>
      </c>
      <c r="E480" t="s">
        <v>47</v>
      </c>
      <c r="F480">
        <v>10</v>
      </c>
      <c r="G480">
        <v>68.150000000000006</v>
      </c>
      <c r="H480" t="s">
        <v>71</v>
      </c>
      <c r="I480" t="s">
        <v>31</v>
      </c>
      <c r="J480" s="1">
        <v>45236</v>
      </c>
      <c r="K480" s="1">
        <f>DATE(YEAR(subscriptions[[#This Row],[signup_date]]),MONTH(subscriptions[[#This Row],[signup_date]]),1)</f>
        <v>45231</v>
      </c>
      <c r="L480" t="s">
        <v>32</v>
      </c>
      <c r="M480" s="1">
        <v>45737</v>
      </c>
      <c r="N480" s="1">
        <f>IF(subscriptions[[#This Row],[churn_date]]="","",DATE(YEAR(subscriptions[[#This Row],[churn_date]]),MONTH(subscriptions[[#This Row],[churn_date]]),1))</f>
        <v>45717</v>
      </c>
      <c r="O480" t="s">
        <v>93</v>
      </c>
      <c r="P480">
        <v>2</v>
      </c>
      <c r="Q480">
        <v>1</v>
      </c>
      <c r="R480">
        <v>21</v>
      </c>
      <c r="S480" t="str">
        <f t="shared" si="7"/>
        <v>Moderate Usage</v>
      </c>
      <c r="T480" t="s">
        <v>34</v>
      </c>
    </row>
    <row r="481" spans="1:20" x14ac:dyDescent="0.3">
      <c r="A481" t="s">
        <v>545</v>
      </c>
      <c r="B481" t="s">
        <v>45</v>
      </c>
      <c r="C481" t="s">
        <v>27</v>
      </c>
      <c r="D481" t="s">
        <v>50</v>
      </c>
      <c r="E481" t="s">
        <v>47</v>
      </c>
      <c r="F481">
        <v>5</v>
      </c>
      <c r="G481">
        <v>318.39999999999998</v>
      </c>
      <c r="H481" t="s">
        <v>30</v>
      </c>
      <c r="I481" t="s">
        <v>48</v>
      </c>
      <c r="J481" s="1">
        <v>44965</v>
      </c>
      <c r="K481" s="1">
        <f>DATE(YEAR(subscriptions[[#This Row],[signup_date]]),MONTH(subscriptions[[#This Row],[signup_date]]),1)</f>
        <v>44958</v>
      </c>
      <c r="L481" t="s">
        <v>32</v>
      </c>
      <c r="M481" s="1">
        <v>44973</v>
      </c>
      <c r="N481" s="1">
        <f>IF(subscriptions[[#This Row],[churn_date]]="","",DATE(YEAR(subscriptions[[#This Row],[churn_date]]),MONTH(subscriptions[[#This Row],[churn_date]]),1))</f>
        <v>44958</v>
      </c>
      <c r="O481" t="s">
        <v>67</v>
      </c>
      <c r="P481">
        <v>8</v>
      </c>
      <c r="Q481">
        <v>6</v>
      </c>
      <c r="R481">
        <v>34</v>
      </c>
      <c r="S481" t="str">
        <f t="shared" si="7"/>
        <v>Moderate Usage</v>
      </c>
      <c r="T481" t="s">
        <v>34</v>
      </c>
    </row>
    <row r="482" spans="1:20" x14ac:dyDescent="0.3">
      <c r="A482" t="s">
        <v>546</v>
      </c>
      <c r="B482" t="s">
        <v>82</v>
      </c>
      <c r="C482" t="s">
        <v>27</v>
      </c>
      <c r="D482" t="s">
        <v>79</v>
      </c>
      <c r="E482" t="s">
        <v>56</v>
      </c>
      <c r="F482">
        <v>112</v>
      </c>
      <c r="G482">
        <v>8807.35</v>
      </c>
      <c r="H482" t="s">
        <v>30</v>
      </c>
      <c r="I482" t="s">
        <v>48</v>
      </c>
      <c r="J482" s="1">
        <v>45464</v>
      </c>
      <c r="K482" s="1">
        <f>DATE(YEAR(subscriptions[[#This Row],[signup_date]]),MONTH(subscriptions[[#This Row],[signup_date]]),1)</f>
        <v>45444</v>
      </c>
      <c r="L482" t="s">
        <v>34</v>
      </c>
      <c r="M482" s="1"/>
      <c r="N482" s="1" t="str">
        <f>IF(subscriptions[[#This Row],[churn_date]]="","",DATE(YEAR(subscriptions[[#This Row],[churn_date]]),MONTH(subscriptions[[#This Row],[churn_date]]),1))</f>
        <v/>
      </c>
      <c r="O482" t="s">
        <v>38</v>
      </c>
      <c r="P482">
        <v>2</v>
      </c>
      <c r="Q482">
        <v>2</v>
      </c>
      <c r="R482">
        <v>61</v>
      </c>
      <c r="S482" t="str">
        <f t="shared" si="7"/>
        <v>High Usage</v>
      </c>
      <c r="T482" t="s">
        <v>34</v>
      </c>
    </row>
    <row r="483" spans="1:20" x14ac:dyDescent="0.3">
      <c r="A483" t="s">
        <v>547</v>
      </c>
      <c r="B483" t="s">
        <v>26</v>
      </c>
      <c r="C483" t="s">
        <v>36</v>
      </c>
      <c r="D483" t="s">
        <v>73</v>
      </c>
      <c r="E483" t="s">
        <v>47</v>
      </c>
      <c r="F483">
        <v>27</v>
      </c>
      <c r="G483">
        <v>329.03</v>
      </c>
      <c r="H483" t="s">
        <v>71</v>
      </c>
      <c r="I483" t="s">
        <v>31</v>
      </c>
      <c r="J483" s="1">
        <v>45567</v>
      </c>
      <c r="K483" s="1">
        <f>DATE(YEAR(subscriptions[[#This Row],[signup_date]]),MONTH(subscriptions[[#This Row],[signup_date]]),1)</f>
        <v>45566</v>
      </c>
      <c r="L483" t="s">
        <v>34</v>
      </c>
      <c r="M483" s="1"/>
      <c r="N483" s="1" t="str">
        <f>IF(subscriptions[[#This Row],[churn_date]]="","",DATE(YEAR(subscriptions[[#This Row],[churn_date]]),MONTH(subscriptions[[#This Row],[churn_date]]),1))</f>
        <v/>
      </c>
      <c r="O483" t="s">
        <v>38</v>
      </c>
      <c r="P483">
        <v>8</v>
      </c>
      <c r="Q483">
        <v>6</v>
      </c>
      <c r="R483">
        <v>80</v>
      </c>
      <c r="S483" t="str">
        <f t="shared" si="7"/>
        <v>High Usage</v>
      </c>
      <c r="T483" t="s">
        <v>34</v>
      </c>
    </row>
    <row r="484" spans="1:20" x14ac:dyDescent="0.3">
      <c r="A484" t="s">
        <v>548</v>
      </c>
      <c r="B484" t="s">
        <v>40</v>
      </c>
      <c r="C484" t="s">
        <v>36</v>
      </c>
      <c r="D484" t="s">
        <v>73</v>
      </c>
      <c r="E484" t="s">
        <v>47</v>
      </c>
      <c r="F484">
        <v>6</v>
      </c>
      <c r="G484">
        <v>43.14</v>
      </c>
      <c r="H484" t="s">
        <v>71</v>
      </c>
      <c r="I484" t="s">
        <v>31</v>
      </c>
      <c r="J484" s="1">
        <v>44614</v>
      </c>
      <c r="K484" s="1">
        <f>DATE(YEAR(subscriptions[[#This Row],[signup_date]]),MONTH(subscriptions[[#This Row],[signup_date]]),1)</f>
        <v>44593</v>
      </c>
      <c r="L484" t="s">
        <v>32</v>
      </c>
      <c r="M484" s="1">
        <v>44784</v>
      </c>
      <c r="N484" s="1">
        <f>IF(subscriptions[[#This Row],[churn_date]]="","",DATE(YEAR(subscriptions[[#This Row],[churn_date]]),MONTH(subscriptions[[#This Row],[churn_date]]),1))</f>
        <v>44774</v>
      </c>
      <c r="O484" t="s">
        <v>67</v>
      </c>
      <c r="P484">
        <v>6</v>
      </c>
      <c r="Q484">
        <v>1</v>
      </c>
      <c r="R484">
        <v>21</v>
      </c>
      <c r="S484" t="str">
        <f t="shared" si="7"/>
        <v>Moderate Usage</v>
      </c>
      <c r="T484" t="s">
        <v>34</v>
      </c>
    </row>
    <row r="485" spans="1:20" x14ac:dyDescent="0.3">
      <c r="A485" t="s">
        <v>549</v>
      </c>
      <c r="B485" t="s">
        <v>45</v>
      </c>
      <c r="C485" t="s">
        <v>27</v>
      </c>
      <c r="D485" t="s">
        <v>79</v>
      </c>
      <c r="E485" t="s">
        <v>47</v>
      </c>
      <c r="F485">
        <v>29</v>
      </c>
      <c r="G485">
        <v>1034.8</v>
      </c>
      <c r="H485" t="s">
        <v>30</v>
      </c>
      <c r="I485" t="s">
        <v>48</v>
      </c>
      <c r="J485" s="1">
        <v>45072</v>
      </c>
      <c r="K485" s="1">
        <f>DATE(YEAR(subscriptions[[#This Row],[signup_date]]),MONTH(subscriptions[[#This Row],[signup_date]]),1)</f>
        <v>45047</v>
      </c>
      <c r="L485" t="s">
        <v>32</v>
      </c>
      <c r="M485" s="1">
        <v>45095</v>
      </c>
      <c r="N485" s="1">
        <f>IF(subscriptions[[#This Row],[churn_date]]="","",DATE(YEAR(subscriptions[[#This Row],[churn_date]]),MONTH(subscriptions[[#This Row],[churn_date]]),1))</f>
        <v>45078</v>
      </c>
      <c r="O485" t="s">
        <v>57</v>
      </c>
      <c r="P485">
        <v>7</v>
      </c>
      <c r="Q485">
        <v>3</v>
      </c>
      <c r="R485">
        <v>32</v>
      </c>
      <c r="S485" t="str">
        <f t="shared" si="7"/>
        <v>Moderate Usage</v>
      </c>
      <c r="T485" t="s">
        <v>34</v>
      </c>
    </row>
    <row r="486" spans="1:20" x14ac:dyDescent="0.3">
      <c r="A486" t="s">
        <v>550</v>
      </c>
      <c r="B486" t="s">
        <v>26</v>
      </c>
      <c r="C486" t="s">
        <v>36</v>
      </c>
      <c r="D486" t="s">
        <v>41</v>
      </c>
      <c r="E486" t="s">
        <v>53</v>
      </c>
      <c r="F486">
        <v>2</v>
      </c>
      <c r="G486">
        <v>77.22</v>
      </c>
      <c r="H486" t="s">
        <v>30</v>
      </c>
      <c r="I486" t="s">
        <v>48</v>
      </c>
      <c r="J486" s="1">
        <v>45182</v>
      </c>
      <c r="K486" s="1">
        <f>DATE(YEAR(subscriptions[[#This Row],[signup_date]]),MONTH(subscriptions[[#This Row],[signup_date]]),1)</f>
        <v>45170</v>
      </c>
      <c r="L486" t="s">
        <v>32</v>
      </c>
      <c r="M486" s="1">
        <v>45745</v>
      </c>
      <c r="N486" s="1">
        <f>IF(subscriptions[[#This Row],[churn_date]]="","",DATE(YEAR(subscriptions[[#This Row],[churn_date]]),MONTH(subscriptions[[#This Row],[churn_date]]),1))</f>
        <v>45717</v>
      </c>
      <c r="O486" t="s">
        <v>64</v>
      </c>
      <c r="P486">
        <v>7</v>
      </c>
      <c r="Q486">
        <v>1</v>
      </c>
      <c r="R486">
        <v>30</v>
      </c>
      <c r="S486" t="str">
        <f t="shared" si="7"/>
        <v>Moderate Usage</v>
      </c>
      <c r="T486" t="s">
        <v>34</v>
      </c>
    </row>
    <row r="487" spans="1:20" x14ac:dyDescent="0.3">
      <c r="A487" t="s">
        <v>551</v>
      </c>
      <c r="B487" t="s">
        <v>40</v>
      </c>
      <c r="C487" t="s">
        <v>27</v>
      </c>
      <c r="D487" t="s">
        <v>63</v>
      </c>
      <c r="E487" t="s">
        <v>29</v>
      </c>
      <c r="F487">
        <v>25</v>
      </c>
      <c r="G487">
        <v>133.4</v>
      </c>
      <c r="H487" t="s">
        <v>43</v>
      </c>
      <c r="I487" t="s">
        <v>66</v>
      </c>
      <c r="J487" s="1">
        <v>45625</v>
      </c>
      <c r="K487" s="1">
        <f>DATE(YEAR(subscriptions[[#This Row],[signup_date]]),MONTH(subscriptions[[#This Row],[signup_date]]),1)</f>
        <v>45597</v>
      </c>
      <c r="L487" t="s">
        <v>32</v>
      </c>
      <c r="M487" s="1">
        <v>45685</v>
      </c>
      <c r="N487" s="1">
        <f>IF(subscriptions[[#This Row],[churn_date]]="","",DATE(YEAR(subscriptions[[#This Row],[churn_date]]),MONTH(subscriptions[[#This Row],[churn_date]]),1))</f>
        <v>45658</v>
      </c>
      <c r="O487" t="s">
        <v>64</v>
      </c>
      <c r="P487">
        <v>10</v>
      </c>
      <c r="Q487">
        <v>4</v>
      </c>
      <c r="R487">
        <v>29</v>
      </c>
      <c r="S487" t="str">
        <f t="shared" si="7"/>
        <v>Moderate Usage</v>
      </c>
      <c r="T487" t="s">
        <v>34</v>
      </c>
    </row>
    <row r="488" spans="1:20" x14ac:dyDescent="0.3">
      <c r="A488" t="s">
        <v>552</v>
      </c>
      <c r="B488" t="s">
        <v>40</v>
      </c>
      <c r="C488" t="s">
        <v>27</v>
      </c>
      <c r="D488" t="s">
        <v>46</v>
      </c>
      <c r="E488" t="s">
        <v>53</v>
      </c>
      <c r="F488">
        <v>7</v>
      </c>
      <c r="G488">
        <v>55.1</v>
      </c>
      <c r="H488" t="s">
        <v>109</v>
      </c>
      <c r="I488" t="s">
        <v>48</v>
      </c>
      <c r="J488" s="1">
        <v>45485</v>
      </c>
      <c r="K488" s="1">
        <f>DATE(YEAR(subscriptions[[#This Row],[signup_date]]),MONTH(subscriptions[[#This Row],[signup_date]]),1)</f>
        <v>45474</v>
      </c>
      <c r="L488" t="s">
        <v>32</v>
      </c>
      <c r="M488" s="1">
        <v>45933</v>
      </c>
      <c r="N488" s="1">
        <f>IF(subscriptions[[#This Row],[churn_date]]="","",DATE(YEAR(subscriptions[[#This Row],[churn_date]]),MONTH(subscriptions[[#This Row],[churn_date]]),1))</f>
        <v>45931</v>
      </c>
      <c r="O488" t="s">
        <v>93</v>
      </c>
      <c r="P488">
        <v>8</v>
      </c>
      <c r="Q488">
        <v>3</v>
      </c>
      <c r="R488">
        <v>50</v>
      </c>
      <c r="S488" t="str">
        <f t="shared" si="7"/>
        <v>Moderate Usage</v>
      </c>
      <c r="T488" t="s">
        <v>34</v>
      </c>
    </row>
    <row r="489" spans="1:20" x14ac:dyDescent="0.3">
      <c r="A489" t="s">
        <v>553</v>
      </c>
      <c r="B489" t="s">
        <v>45</v>
      </c>
      <c r="C489" t="s">
        <v>36</v>
      </c>
      <c r="D489" t="s">
        <v>73</v>
      </c>
      <c r="E489" t="s">
        <v>53</v>
      </c>
      <c r="F489">
        <v>7</v>
      </c>
      <c r="G489">
        <v>321.38</v>
      </c>
      <c r="H489" t="s">
        <v>43</v>
      </c>
      <c r="I489" t="s">
        <v>31</v>
      </c>
      <c r="J489" s="1">
        <v>44825</v>
      </c>
      <c r="K489" s="1">
        <f>DATE(YEAR(subscriptions[[#This Row],[signup_date]]),MONTH(subscriptions[[#This Row],[signup_date]]),1)</f>
        <v>44805</v>
      </c>
      <c r="L489" t="s">
        <v>34</v>
      </c>
      <c r="M489" s="1"/>
      <c r="N489" s="1" t="str">
        <f>IF(subscriptions[[#This Row],[churn_date]]="","",DATE(YEAR(subscriptions[[#This Row],[churn_date]]),MONTH(subscriptions[[#This Row],[churn_date]]),1))</f>
        <v/>
      </c>
      <c r="O489" t="s">
        <v>38</v>
      </c>
      <c r="P489">
        <v>2</v>
      </c>
      <c r="Q489">
        <v>6</v>
      </c>
      <c r="R489">
        <v>84</v>
      </c>
      <c r="S489" t="str">
        <f t="shared" si="7"/>
        <v>Very High Usage</v>
      </c>
      <c r="T489" t="s">
        <v>34</v>
      </c>
    </row>
    <row r="490" spans="1:20" x14ac:dyDescent="0.3">
      <c r="A490" t="s">
        <v>554</v>
      </c>
      <c r="B490" t="s">
        <v>26</v>
      </c>
      <c r="C490" t="s">
        <v>27</v>
      </c>
      <c r="D490" t="s">
        <v>90</v>
      </c>
      <c r="E490" t="s">
        <v>47</v>
      </c>
      <c r="F490">
        <v>24</v>
      </c>
      <c r="G490">
        <v>351.55</v>
      </c>
      <c r="H490" t="s">
        <v>54</v>
      </c>
      <c r="I490" t="s">
        <v>66</v>
      </c>
      <c r="J490" s="1">
        <v>45137</v>
      </c>
      <c r="K490" s="1">
        <f>DATE(YEAR(subscriptions[[#This Row],[signup_date]]),MONTH(subscriptions[[#This Row],[signup_date]]),1)</f>
        <v>45108</v>
      </c>
      <c r="L490" t="s">
        <v>32</v>
      </c>
      <c r="M490" s="1">
        <v>45779</v>
      </c>
      <c r="N490" s="1">
        <f>IF(subscriptions[[#This Row],[churn_date]]="","",DATE(YEAR(subscriptions[[#This Row],[churn_date]]),MONTH(subscriptions[[#This Row],[churn_date]]),1))</f>
        <v>45778</v>
      </c>
      <c r="O490" t="s">
        <v>74</v>
      </c>
      <c r="P490">
        <v>15</v>
      </c>
      <c r="Q490">
        <v>5</v>
      </c>
      <c r="R490">
        <v>26</v>
      </c>
      <c r="S490" t="str">
        <f t="shared" si="7"/>
        <v>Moderate Usage</v>
      </c>
      <c r="T490" t="s">
        <v>34</v>
      </c>
    </row>
    <row r="491" spans="1:20" x14ac:dyDescent="0.3">
      <c r="A491" t="s">
        <v>555</v>
      </c>
      <c r="B491" t="s">
        <v>82</v>
      </c>
      <c r="C491" t="s">
        <v>27</v>
      </c>
      <c r="D491" t="s">
        <v>60</v>
      </c>
      <c r="E491" t="s">
        <v>53</v>
      </c>
      <c r="F491">
        <v>6</v>
      </c>
      <c r="G491">
        <v>873.25</v>
      </c>
      <c r="H491" t="s">
        <v>54</v>
      </c>
      <c r="I491" t="s">
        <v>31</v>
      </c>
      <c r="J491" s="1">
        <v>44647</v>
      </c>
      <c r="K491" s="1">
        <f>DATE(YEAR(subscriptions[[#This Row],[signup_date]]),MONTH(subscriptions[[#This Row],[signup_date]]),1)</f>
        <v>44621</v>
      </c>
      <c r="L491" t="s">
        <v>32</v>
      </c>
      <c r="M491" s="1">
        <v>45710</v>
      </c>
      <c r="N491" s="1">
        <f>IF(subscriptions[[#This Row],[churn_date]]="","",DATE(YEAR(subscriptions[[#This Row],[churn_date]]),MONTH(subscriptions[[#This Row],[churn_date]]),1))</f>
        <v>45689</v>
      </c>
      <c r="O491" t="s">
        <v>67</v>
      </c>
      <c r="P491">
        <v>11</v>
      </c>
      <c r="Q491">
        <v>3</v>
      </c>
      <c r="R491">
        <v>19</v>
      </c>
      <c r="S491" t="str">
        <f t="shared" si="7"/>
        <v>Very Low Usage</v>
      </c>
      <c r="T491" t="s">
        <v>34</v>
      </c>
    </row>
    <row r="492" spans="1:20" x14ac:dyDescent="0.3">
      <c r="A492" t="s">
        <v>556</v>
      </c>
      <c r="B492" t="s">
        <v>40</v>
      </c>
      <c r="C492" t="s">
        <v>27</v>
      </c>
      <c r="D492" t="s">
        <v>50</v>
      </c>
      <c r="E492" t="s">
        <v>56</v>
      </c>
      <c r="F492">
        <v>121</v>
      </c>
      <c r="G492">
        <v>551</v>
      </c>
      <c r="H492" t="s">
        <v>109</v>
      </c>
      <c r="I492" t="s">
        <v>48</v>
      </c>
      <c r="J492" s="1">
        <v>45444</v>
      </c>
      <c r="K492" s="1">
        <f>DATE(YEAR(subscriptions[[#This Row],[signup_date]]),MONTH(subscriptions[[#This Row],[signup_date]]),1)</f>
        <v>45444</v>
      </c>
      <c r="L492" t="s">
        <v>32</v>
      </c>
      <c r="M492" s="1">
        <v>45753</v>
      </c>
      <c r="N492" s="1">
        <f>IF(subscriptions[[#This Row],[churn_date]]="","",DATE(YEAR(subscriptions[[#This Row],[churn_date]]),MONTH(subscriptions[[#This Row],[churn_date]]),1))</f>
        <v>45748</v>
      </c>
      <c r="O492" t="s">
        <v>33</v>
      </c>
      <c r="P492">
        <v>2</v>
      </c>
      <c r="Q492">
        <v>6</v>
      </c>
      <c r="R492">
        <v>23</v>
      </c>
      <c r="S492" t="str">
        <f t="shared" si="7"/>
        <v>Moderate Usage</v>
      </c>
      <c r="T492" t="s">
        <v>34</v>
      </c>
    </row>
    <row r="493" spans="1:20" x14ac:dyDescent="0.3">
      <c r="A493" t="s">
        <v>557</v>
      </c>
      <c r="B493" t="s">
        <v>26</v>
      </c>
      <c r="C493" t="s">
        <v>27</v>
      </c>
      <c r="D493" t="s">
        <v>41</v>
      </c>
      <c r="E493" t="s">
        <v>53</v>
      </c>
      <c r="F493">
        <v>4</v>
      </c>
      <c r="G493">
        <v>114.55</v>
      </c>
      <c r="H493" t="s">
        <v>54</v>
      </c>
      <c r="I493" t="s">
        <v>48</v>
      </c>
      <c r="J493" s="1">
        <v>44899</v>
      </c>
      <c r="K493" s="1">
        <f>DATE(YEAR(subscriptions[[#This Row],[signup_date]]),MONTH(subscriptions[[#This Row],[signup_date]]),1)</f>
        <v>44896</v>
      </c>
      <c r="L493" t="s">
        <v>32</v>
      </c>
      <c r="M493" s="1">
        <v>45747</v>
      </c>
      <c r="N493" s="1">
        <f>IF(subscriptions[[#This Row],[churn_date]]="","",DATE(YEAR(subscriptions[[#This Row],[churn_date]]),MONTH(subscriptions[[#This Row],[churn_date]]),1))</f>
        <v>45717</v>
      </c>
      <c r="O493" t="s">
        <v>67</v>
      </c>
      <c r="P493">
        <v>15</v>
      </c>
      <c r="Q493">
        <v>1</v>
      </c>
      <c r="R493">
        <v>27</v>
      </c>
      <c r="S493" t="str">
        <f t="shared" si="7"/>
        <v>Moderate Usage</v>
      </c>
      <c r="T493" t="s">
        <v>34</v>
      </c>
    </row>
    <row r="494" spans="1:20" x14ac:dyDescent="0.3">
      <c r="A494" t="s">
        <v>558</v>
      </c>
      <c r="B494" t="s">
        <v>40</v>
      </c>
      <c r="C494" t="s">
        <v>36</v>
      </c>
      <c r="D494" t="s">
        <v>41</v>
      </c>
      <c r="E494" t="s">
        <v>29</v>
      </c>
      <c r="F494">
        <v>73</v>
      </c>
      <c r="G494">
        <v>290.87</v>
      </c>
      <c r="H494" t="s">
        <v>30</v>
      </c>
      <c r="I494" t="s">
        <v>31</v>
      </c>
      <c r="J494" s="1">
        <v>45936</v>
      </c>
      <c r="K494" s="1">
        <f>DATE(YEAR(subscriptions[[#This Row],[signup_date]]),MONTH(subscriptions[[#This Row],[signup_date]]),1)</f>
        <v>45931</v>
      </c>
      <c r="L494" t="s">
        <v>34</v>
      </c>
      <c r="M494" s="1"/>
      <c r="N494" s="1" t="str">
        <f>IF(subscriptions[[#This Row],[churn_date]]="","",DATE(YEAR(subscriptions[[#This Row],[churn_date]]),MONTH(subscriptions[[#This Row],[churn_date]]),1))</f>
        <v/>
      </c>
      <c r="O494" t="s">
        <v>38</v>
      </c>
      <c r="P494">
        <v>3</v>
      </c>
      <c r="Q494">
        <v>7</v>
      </c>
      <c r="R494">
        <v>57</v>
      </c>
      <c r="S494" t="str">
        <f t="shared" si="7"/>
        <v>High Usage</v>
      </c>
      <c r="T494" t="s">
        <v>34</v>
      </c>
    </row>
    <row r="495" spans="1:20" x14ac:dyDescent="0.3">
      <c r="A495" t="s">
        <v>559</v>
      </c>
      <c r="B495" t="s">
        <v>45</v>
      </c>
      <c r="C495" t="s">
        <v>27</v>
      </c>
      <c r="D495" t="s">
        <v>28</v>
      </c>
      <c r="E495" t="s">
        <v>42</v>
      </c>
      <c r="F495">
        <v>199</v>
      </c>
      <c r="G495">
        <v>6109.3</v>
      </c>
      <c r="H495" t="s">
        <v>43</v>
      </c>
      <c r="I495" t="s">
        <v>31</v>
      </c>
      <c r="J495" s="1">
        <v>44711</v>
      </c>
      <c r="K495" s="1">
        <f>DATE(YEAR(subscriptions[[#This Row],[signup_date]]),MONTH(subscriptions[[#This Row],[signup_date]]),1)</f>
        <v>44682</v>
      </c>
      <c r="L495" t="s">
        <v>32</v>
      </c>
      <c r="M495" s="1">
        <v>45919</v>
      </c>
      <c r="N495" s="1">
        <f>IF(subscriptions[[#This Row],[churn_date]]="","",DATE(YEAR(subscriptions[[#This Row],[churn_date]]),MONTH(subscriptions[[#This Row],[churn_date]]),1))</f>
        <v>45901</v>
      </c>
      <c r="O495" t="s">
        <v>93</v>
      </c>
      <c r="P495">
        <v>13</v>
      </c>
      <c r="Q495">
        <v>4</v>
      </c>
      <c r="R495">
        <v>26</v>
      </c>
      <c r="S495" t="str">
        <f t="shared" si="7"/>
        <v>Moderate Usage</v>
      </c>
      <c r="T495" t="s">
        <v>34</v>
      </c>
    </row>
    <row r="496" spans="1:20" x14ac:dyDescent="0.3">
      <c r="A496" t="s">
        <v>560</v>
      </c>
      <c r="B496" t="s">
        <v>45</v>
      </c>
      <c r="C496" t="s">
        <v>27</v>
      </c>
      <c r="D496" t="s">
        <v>63</v>
      </c>
      <c r="E496" t="s">
        <v>47</v>
      </c>
      <c r="F496">
        <v>21</v>
      </c>
      <c r="G496">
        <v>796</v>
      </c>
      <c r="H496" t="s">
        <v>71</v>
      </c>
      <c r="I496" t="s">
        <v>66</v>
      </c>
      <c r="J496" s="1">
        <v>44783</v>
      </c>
      <c r="K496" s="1">
        <f>DATE(YEAR(subscriptions[[#This Row],[signup_date]]),MONTH(subscriptions[[#This Row],[signup_date]]),1)</f>
        <v>44774</v>
      </c>
      <c r="L496" t="s">
        <v>32</v>
      </c>
      <c r="M496" s="1">
        <v>45269</v>
      </c>
      <c r="N496" s="1">
        <f>IF(subscriptions[[#This Row],[churn_date]]="","",DATE(YEAR(subscriptions[[#This Row],[churn_date]]),MONTH(subscriptions[[#This Row],[churn_date]]),1))</f>
        <v>45261</v>
      </c>
      <c r="O496" t="s">
        <v>74</v>
      </c>
      <c r="P496">
        <v>4</v>
      </c>
      <c r="Q496">
        <v>1</v>
      </c>
      <c r="R496">
        <v>13</v>
      </c>
      <c r="S496" t="str">
        <f t="shared" si="7"/>
        <v>Very Low Usage</v>
      </c>
      <c r="T496" t="s">
        <v>34</v>
      </c>
    </row>
    <row r="497" spans="1:20" x14ac:dyDescent="0.3">
      <c r="A497" t="s">
        <v>561</v>
      </c>
      <c r="B497" t="s">
        <v>40</v>
      </c>
      <c r="C497" t="s">
        <v>36</v>
      </c>
      <c r="D497" t="s">
        <v>41</v>
      </c>
      <c r="E497" t="s">
        <v>53</v>
      </c>
      <c r="F497">
        <v>4</v>
      </c>
      <c r="G497">
        <v>35.74</v>
      </c>
      <c r="H497" t="s">
        <v>54</v>
      </c>
      <c r="I497" t="s">
        <v>48</v>
      </c>
      <c r="J497" s="1">
        <v>45104</v>
      </c>
      <c r="K497" s="1">
        <f>DATE(YEAR(subscriptions[[#This Row],[signup_date]]),MONTH(subscriptions[[#This Row],[signup_date]]),1)</f>
        <v>45078</v>
      </c>
      <c r="L497" t="s">
        <v>32</v>
      </c>
      <c r="M497" s="1">
        <v>45180</v>
      </c>
      <c r="N497" s="1">
        <f>IF(subscriptions[[#This Row],[churn_date]]="","",DATE(YEAR(subscriptions[[#This Row],[churn_date]]),MONTH(subscriptions[[#This Row],[churn_date]]),1))</f>
        <v>45170</v>
      </c>
      <c r="O497" t="s">
        <v>33</v>
      </c>
      <c r="P497">
        <v>1</v>
      </c>
      <c r="Q497">
        <v>1</v>
      </c>
      <c r="R497">
        <v>39</v>
      </c>
      <c r="S497" t="str">
        <f t="shared" si="7"/>
        <v>Moderate Usage</v>
      </c>
      <c r="T497" t="s">
        <v>34</v>
      </c>
    </row>
    <row r="498" spans="1:20" x14ac:dyDescent="0.3">
      <c r="A498" t="s">
        <v>562</v>
      </c>
      <c r="B498" t="s">
        <v>82</v>
      </c>
      <c r="C498" t="s">
        <v>27</v>
      </c>
      <c r="D498" t="s">
        <v>79</v>
      </c>
      <c r="E498" t="s">
        <v>53</v>
      </c>
      <c r="F498">
        <v>4</v>
      </c>
      <c r="G498">
        <v>723.55</v>
      </c>
      <c r="H498" t="s">
        <v>71</v>
      </c>
      <c r="I498" t="s">
        <v>31</v>
      </c>
      <c r="J498" s="1">
        <v>45325</v>
      </c>
      <c r="K498" s="1">
        <f>DATE(YEAR(subscriptions[[#This Row],[signup_date]]),MONTH(subscriptions[[#This Row],[signup_date]]),1)</f>
        <v>45323</v>
      </c>
      <c r="L498" t="s">
        <v>34</v>
      </c>
      <c r="M498" s="1"/>
      <c r="N498" s="1" t="str">
        <f>IF(subscriptions[[#This Row],[churn_date]]="","",DATE(YEAR(subscriptions[[#This Row],[churn_date]]),MONTH(subscriptions[[#This Row],[churn_date]]),1))</f>
        <v/>
      </c>
      <c r="O498" t="s">
        <v>38</v>
      </c>
      <c r="P498">
        <v>0</v>
      </c>
      <c r="Q498">
        <v>6</v>
      </c>
      <c r="R498">
        <v>47</v>
      </c>
      <c r="S498" t="str">
        <f t="shared" si="7"/>
        <v>Moderate Usage</v>
      </c>
      <c r="T498" t="s">
        <v>34</v>
      </c>
    </row>
    <row r="499" spans="1:20" x14ac:dyDescent="0.3">
      <c r="A499" t="s">
        <v>563</v>
      </c>
      <c r="B499" t="s">
        <v>45</v>
      </c>
      <c r="C499" t="s">
        <v>36</v>
      </c>
      <c r="D499" t="s">
        <v>73</v>
      </c>
      <c r="E499" t="s">
        <v>47</v>
      </c>
      <c r="F499">
        <v>5</v>
      </c>
      <c r="G499">
        <v>270.64</v>
      </c>
      <c r="H499" t="s">
        <v>109</v>
      </c>
      <c r="I499" t="s">
        <v>48</v>
      </c>
      <c r="J499" s="1">
        <v>46015</v>
      </c>
      <c r="K499" s="1">
        <f>DATE(YEAR(subscriptions[[#This Row],[signup_date]]),MONTH(subscriptions[[#This Row],[signup_date]]),1)</f>
        <v>45992</v>
      </c>
      <c r="L499" t="s">
        <v>34</v>
      </c>
      <c r="M499" s="1"/>
      <c r="N499" s="1" t="str">
        <f>IF(subscriptions[[#This Row],[churn_date]]="","",DATE(YEAR(subscriptions[[#This Row],[churn_date]]),MONTH(subscriptions[[#This Row],[churn_date]]),1))</f>
        <v/>
      </c>
      <c r="O499" t="s">
        <v>38</v>
      </c>
      <c r="P499">
        <v>3</v>
      </c>
      <c r="Q499">
        <v>5</v>
      </c>
      <c r="R499">
        <v>48</v>
      </c>
      <c r="S499" t="str">
        <f t="shared" si="7"/>
        <v>Moderate Usage</v>
      </c>
      <c r="T499" t="s">
        <v>34</v>
      </c>
    </row>
    <row r="500" spans="1:20" x14ac:dyDescent="0.3">
      <c r="A500" t="s">
        <v>564</v>
      </c>
      <c r="B500" t="s">
        <v>45</v>
      </c>
      <c r="C500" t="s">
        <v>27</v>
      </c>
      <c r="D500" t="s">
        <v>73</v>
      </c>
      <c r="E500" t="s">
        <v>47</v>
      </c>
      <c r="F500">
        <v>15</v>
      </c>
      <c r="G500">
        <v>616.9</v>
      </c>
      <c r="H500" t="s">
        <v>54</v>
      </c>
      <c r="I500" t="s">
        <v>31</v>
      </c>
      <c r="J500" s="1">
        <v>45722</v>
      </c>
      <c r="K500" s="1">
        <f>DATE(YEAR(subscriptions[[#This Row],[signup_date]]),MONTH(subscriptions[[#This Row],[signup_date]]),1)</f>
        <v>45717</v>
      </c>
      <c r="L500" t="s">
        <v>34</v>
      </c>
      <c r="M500" s="1"/>
      <c r="N500" s="1" t="str">
        <f>IF(subscriptions[[#This Row],[churn_date]]="","",DATE(YEAR(subscriptions[[#This Row],[churn_date]]),MONTH(subscriptions[[#This Row],[churn_date]]),1))</f>
        <v/>
      </c>
      <c r="O500" t="s">
        <v>38</v>
      </c>
      <c r="P500">
        <v>11</v>
      </c>
      <c r="Q500">
        <v>10</v>
      </c>
      <c r="R500">
        <v>37</v>
      </c>
      <c r="S500" t="str">
        <f t="shared" si="7"/>
        <v>Moderate Usage</v>
      </c>
      <c r="T500" t="s">
        <v>34</v>
      </c>
    </row>
    <row r="501" spans="1:20" x14ac:dyDescent="0.3">
      <c r="A501" t="s">
        <v>565</v>
      </c>
      <c r="B501" t="s">
        <v>26</v>
      </c>
      <c r="C501" t="s">
        <v>27</v>
      </c>
      <c r="D501" t="s">
        <v>60</v>
      </c>
      <c r="E501" t="s">
        <v>29</v>
      </c>
      <c r="F501">
        <v>71</v>
      </c>
      <c r="G501">
        <v>908.5</v>
      </c>
      <c r="H501" t="s">
        <v>54</v>
      </c>
      <c r="I501" t="s">
        <v>31</v>
      </c>
      <c r="J501" s="1">
        <v>45989</v>
      </c>
      <c r="K501" s="1">
        <f>DATE(YEAR(subscriptions[[#This Row],[signup_date]]),MONTH(subscriptions[[#This Row],[signup_date]]),1)</f>
        <v>45962</v>
      </c>
      <c r="L501" t="s">
        <v>34</v>
      </c>
      <c r="M501" s="1"/>
      <c r="N501" s="1" t="str">
        <f>IF(subscriptions[[#This Row],[churn_date]]="","",DATE(YEAR(subscriptions[[#This Row],[churn_date]]),MONTH(subscriptions[[#This Row],[churn_date]]),1))</f>
        <v/>
      </c>
      <c r="O501" t="s">
        <v>38</v>
      </c>
      <c r="P501">
        <v>4</v>
      </c>
      <c r="Q501">
        <v>5</v>
      </c>
      <c r="R501">
        <v>70</v>
      </c>
      <c r="S501" t="str">
        <f t="shared" si="7"/>
        <v>High Usage</v>
      </c>
      <c r="T501" t="s">
        <v>34</v>
      </c>
    </row>
    <row r="502" spans="1:20" x14ac:dyDescent="0.3">
      <c r="A502" t="s">
        <v>566</v>
      </c>
      <c r="B502" t="s">
        <v>40</v>
      </c>
      <c r="C502" t="s">
        <v>36</v>
      </c>
      <c r="D502" t="s">
        <v>73</v>
      </c>
      <c r="E502" t="s">
        <v>42</v>
      </c>
      <c r="F502">
        <v>144</v>
      </c>
      <c r="G502">
        <v>553.39</v>
      </c>
      <c r="H502" t="s">
        <v>43</v>
      </c>
      <c r="I502" t="s">
        <v>31</v>
      </c>
      <c r="J502" s="1">
        <v>45137</v>
      </c>
      <c r="K502" s="1">
        <f>DATE(YEAR(subscriptions[[#This Row],[signup_date]]),MONTH(subscriptions[[#This Row],[signup_date]]),1)</f>
        <v>45108</v>
      </c>
      <c r="L502" t="s">
        <v>32</v>
      </c>
      <c r="M502" s="1">
        <v>45319</v>
      </c>
      <c r="N502" s="1">
        <f>IF(subscriptions[[#This Row],[churn_date]]="","",DATE(YEAR(subscriptions[[#This Row],[churn_date]]),MONTH(subscriptions[[#This Row],[churn_date]]),1))</f>
        <v>45292</v>
      </c>
      <c r="O502" t="s">
        <v>67</v>
      </c>
      <c r="P502">
        <v>6</v>
      </c>
      <c r="Q502">
        <v>3</v>
      </c>
      <c r="R502">
        <v>45</v>
      </c>
      <c r="S502" t="str">
        <f t="shared" si="7"/>
        <v>Moderate Usage</v>
      </c>
      <c r="T502" t="s">
        <v>34</v>
      </c>
    </row>
    <row r="503" spans="1:20" x14ac:dyDescent="0.3">
      <c r="A503" t="s">
        <v>567</v>
      </c>
      <c r="B503" t="s">
        <v>26</v>
      </c>
      <c r="C503" t="s">
        <v>36</v>
      </c>
      <c r="D503" t="s">
        <v>28</v>
      </c>
      <c r="E503" t="s">
        <v>47</v>
      </c>
      <c r="F503">
        <v>32</v>
      </c>
      <c r="G503">
        <v>379.4</v>
      </c>
      <c r="H503" t="s">
        <v>54</v>
      </c>
      <c r="I503" t="s">
        <v>48</v>
      </c>
      <c r="J503" s="1">
        <v>45593</v>
      </c>
      <c r="K503" s="1">
        <f>DATE(YEAR(subscriptions[[#This Row],[signup_date]]),MONTH(subscriptions[[#This Row],[signup_date]]),1)</f>
        <v>45566</v>
      </c>
      <c r="L503" t="s">
        <v>34</v>
      </c>
      <c r="M503" s="1"/>
      <c r="N503" s="1" t="str">
        <f>IF(subscriptions[[#This Row],[churn_date]]="","",DATE(YEAR(subscriptions[[#This Row],[churn_date]]),MONTH(subscriptions[[#This Row],[churn_date]]),1))</f>
        <v/>
      </c>
      <c r="O503" t="s">
        <v>38</v>
      </c>
      <c r="P503">
        <v>5</v>
      </c>
      <c r="Q503">
        <v>9</v>
      </c>
      <c r="R503">
        <v>36</v>
      </c>
      <c r="S503" t="str">
        <f t="shared" si="7"/>
        <v>Moderate Usage</v>
      </c>
      <c r="T503" t="s">
        <v>34</v>
      </c>
    </row>
    <row r="504" spans="1:20" x14ac:dyDescent="0.3">
      <c r="A504" t="s">
        <v>568</v>
      </c>
      <c r="B504" t="s">
        <v>82</v>
      </c>
      <c r="C504" t="s">
        <v>36</v>
      </c>
      <c r="D504" t="s">
        <v>46</v>
      </c>
      <c r="E504" t="s">
        <v>47</v>
      </c>
      <c r="F504">
        <v>23</v>
      </c>
      <c r="G504">
        <v>1823.84</v>
      </c>
      <c r="H504" t="s">
        <v>30</v>
      </c>
      <c r="I504" t="s">
        <v>80</v>
      </c>
      <c r="J504" s="1">
        <v>45677</v>
      </c>
      <c r="K504" s="1">
        <f>DATE(YEAR(subscriptions[[#This Row],[signup_date]]),MONTH(subscriptions[[#This Row],[signup_date]]),1)</f>
        <v>45658</v>
      </c>
      <c r="L504" t="s">
        <v>34</v>
      </c>
      <c r="M504" s="1"/>
      <c r="N504" s="1" t="str">
        <f>IF(subscriptions[[#This Row],[churn_date]]="","",DATE(YEAR(subscriptions[[#This Row],[churn_date]]),MONTH(subscriptions[[#This Row],[churn_date]]),1))</f>
        <v/>
      </c>
      <c r="O504" t="s">
        <v>38</v>
      </c>
      <c r="P504">
        <v>10</v>
      </c>
      <c r="Q504">
        <v>7</v>
      </c>
      <c r="R504">
        <v>16</v>
      </c>
      <c r="S504" t="str">
        <f t="shared" si="7"/>
        <v>Very Low Usage</v>
      </c>
      <c r="T504" t="s">
        <v>34</v>
      </c>
    </row>
    <row r="505" spans="1:20" x14ac:dyDescent="0.3">
      <c r="A505" t="s">
        <v>569</v>
      </c>
      <c r="B505" t="s">
        <v>40</v>
      </c>
      <c r="C505" t="s">
        <v>27</v>
      </c>
      <c r="D505" t="s">
        <v>28</v>
      </c>
      <c r="E505" t="s">
        <v>47</v>
      </c>
      <c r="F505">
        <v>15</v>
      </c>
      <c r="G505">
        <v>89.9</v>
      </c>
      <c r="H505" t="s">
        <v>30</v>
      </c>
      <c r="I505" t="s">
        <v>48</v>
      </c>
      <c r="J505" s="1">
        <v>45759</v>
      </c>
      <c r="K505" s="1">
        <f>DATE(YEAR(subscriptions[[#This Row],[signup_date]]),MONTH(subscriptions[[#This Row],[signup_date]]),1)</f>
        <v>45748</v>
      </c>
      <c r="L505" t="s">
        <v>32</v>
      </c>
      <c r="M505" s="1">
        <v>45785</v>
      </c>
      <c r="N505" s="1">
        <f>IF(subscriptions[[#This Row],[churn_date]]="","",DATE(YEAR(subscriptions[[#This Row],[churn_date]]),MONTH(subscriptions[[#This Row],[churn_date]]),1))</f>
        <v>45778</v>
      </c>
      <c r="O505" t="s">
        <v>64</v>
      </c>
      <c r="P505">
        <v>14</v>
      </c>
      <c r="Q505">
        <v>3</v>
      </c>
      <c r="R505">
        <v>26</v>
      </c>
      <c r="S505" t="str">
        <f t="shared" si="7"/>
        <v>Moderate Usage</v>
      </c>
      <c r="T505" t="s">
        <v>34</v>
      </c>
    </row>
    <row r="506" spans="1:20" x14ac:dyDescent="0.3">
      <c r="A506" t="s">
        <v>570</v>
      </c>
      <c r="B506" t="s">
        <v>45</v>
      </c>
      <c r="C506" t="s">
        <v>27</v>
      </c>
      <c r="D506" t="s">
        <v>52</v>
      </c>
      <c r="E506" t="s">
        <v>29</v>
      </c>
      <c r="F506">
        <v>49</v>
      </c>
      <c r="G506">
        <v>1631.8</v>
      </c>
      <c r="H506" t="s">
        <v>54</v>
      </c>
      <c r="I506" t="s">
        <v>31</v>
      </c>
      <c r="J506" s="1">
        <v>44693</v>
      </c>
      <c r="K506" s="1">
        <f>DATE(YEAR(subscriptions[[#This Row],[signup_date]]),MONTH(subscriptions[[#This Row],[signup_date]]),1)</f>
        <v>44682</v>
      </c>
      <c r="L506" t="s">
        <v>32</v>
      </c>
      <c r="M506" s="1">
        <v>45142</v>
      </c>
      <c r="N506" s="1">
        <f>IF(subscriptions[[#This Row],[churn_date]]="","",DATE(YEAR(subscriptions[[#This Row],[churn_date]]),MONTH(subscriptions[[#This Row],[churn_date]]),1))</f>
        <v>45139</v>
      </c>
      <c r="O506" t="s">
        <v>64</v>
      </c>
      <c r="P506">
        <v>10</v>
      </c>
      <c r="Q506">
        <v>6</v>
      </c>
      <c r="R506">
        <v>16</v>
      </c>
      <c r="S506" t="str">
        <f t="shared" si="7"/>
        <v>Very Low Usage</v>
      </c>
      <c r="T506" t="s">
        <v>34</v>
      </c>
    </row>
    <row r="507" spans="1:20" x14ac:dyDescent="0.3">
      <c r="A507" t="s">
        <v>571</v>
      </c>
      <c r="B507" t="s">
        <v>40</v>
      </c>
      <c r="C507" t="s">
        <v>27</v>
      </c>
      <c r="D507" t="s">
        <v>52</v>
      </c>
      <c r="E507" t="s">
        <v>47</v>
      </c>
      <c r="F507">
        <v>26</v>
      </c>
      <c r="G507">
        <v>137.75</v>
      </c>
      <c r="H507" t="s">
        <v>30</v>
      </c>
      <c r="I507" t="s">
        <v>80</v>
      </c>
      <c r="J507" s="1">
        <v>45604</v>
      </c>
      <c r="K507" s="1">
        <f>DATE(YEAR(subscriptions[[#This Row],[signup_date]]),MONTH(subscriptions[[#This Row],[signup_date]]),1)</f>
        <v>45597</v>
      </c>
      <c r="L507" t="s">
        <v>32</v>
      </c>
      <c r="M507" s="1">
        <v>45894</v>
      </c>
      <c r="N507" s="1">
        <f>IF(subscriptions[[#This Row],[churn_date]]="","",DATE(YEAR(subscriptions[[#This Row],[churn_date]]),MONTH(subscriptions[[#This Row],[churn_date]]),1))</f>
        <v>45870</v>
      </c>
      <c r="O507" t="s">
        <v>74</v>
      </c>
      <c r="P507">
        <v>12</v>
      </c>
      <c r="Q507">
        <v>2</v>
      </c>
      <c r="R507">
        <v>26</v>
      </c>
      <c r="S507" t="str">
        <f t="shared" si="7"/>
        <v>Moderate Usage</v>
      </c>
      <c r="T507" t="s">
        <v>34</v>
      </c>
    </row>
    <row r="508" spans="1:20" x14ac:dyDescent="0.3">
      <c r="A508" t="s">
        <v>572</v>
      </c>
      <c r="B508" t="s">
        <v>45</v>
      </c>
      <c r="C508" t="s">
        <v>36</v>
      </c>
      <c r="D508" t="s">
        <v>50</v>
      </c>
      <c r="E508" t="s">
        <v>47</v>
      </c>
      <c r="F508">
        <v>35</v>
      </c>
      <c r="G508">
        <v>1031.82</v>
      </c>
      <c r="H508" t="s">
        <v>43</v>
      </c>
      <c r="I508" t="s">
        <v>31</v>
      </c>
      <c r="J508" s="1">
        <v>45768</v>
      </c>
      <c r="K508" s="1">
        <f>DATE(YEAR(subscriptions[[#This Row],[signup_date]]),MONTH(subscriptions[[#This Row],[signup_date]]),1)</f>
        <v>45748</v>
      </c>
      <c r="L508" t="s">
        <v>34</v>
      </c>
      <c r="M508" s="1"/>
      <c r="N508" s="1" t="str">
        <f>IF(subscriptions[[#This Row],[churn_date]]="","",DATE(YEAR(subscriptions[[#This Row],[churn_date]]),MONTH(subscriptions[[#This Row],[churn_date]]),1))</f>
        <v/>
      </c>
      <c r="O508" t="s">
        <v>38</v>
      </c>
      <c r="P508">
        <v>2</v>
      </c>
      <c r="Q508">
        <v>6</v>
      </c>
      <c r="R508">
        <v>70</v>
      </c>
      <c r="S508" t="str">
        <f t="shared" si="7"/>
        <v>High Usage</v>
      </c>
      <c r="T508" t="s">
        <v>32</v>
      </c>
    </row>
    <row r="509" spans="1:20" x14ac:dyDescent="0.3">
      <c r="A509" t="s">
        <v>573</v>
      </c>
      <c r="B509" t="s">
        <v>40</v>
      </c>
      <c r="C509" t="s">
        <v>36</v>
      </c>
      <c r="D509" t="s">
        <v>41</v>
      </c>
      <c r="E509" t="s">
        <v>29</v>
      </c>
      <c r="F509">
        <v>54</v>
      </c>
      <c r="G509">
        <v>220.62</v>
      </c>
      <c r="H509" t="s">
        <v>54</v>
      </c>
      <c r="I509" t="s">
        <v>66</v>
      </c>
      <c r="J509" s="1">
        <v>44630</v>
      </c>
      <c r="K509" s="1">
        <f>DATE(YEAR(subscriptions[[#This Row],[signup_date]]),MONTH(subscriptions[[#This Row],[signup_date]]),1)</f>
        <v>44621</v>
      </c>
      <c r="L509" t="s">
        <v>32</v>
      </c>
      <c r="M509" s="1">
        <v>44874</v>
      </c>
      <c r="N509" s="1">
        <f>IF(subscriptions[[#This Row],[churn_date]]="","",DATE(YEAR(subscriptions[[#This Row],[churn_date]]),MONTH(subscriptions[[#This Row],[churn_date]]),1))</f>
        <v>44866</v>
      </c>
      <c r="O509" t="s">
        <v>67</v>
      </c>
      <c r="P509">
        <v>3</v>
      </c>
      <c r="Q509">
        <v>2</v>
      </c>
      <c r="R509">
        <v>33</v>
      </c>
      <c r="S509" t="str">
        <f t="shared" si="7"/>
        <v>Moderate Usage</v>
      </c>
      <c r="T509" t="s">
        <v>34</v>
      </c>
    </row>
    <row r="510" spans="1:20" x14ac:dyDescent="0.3">
      <c r="A510" t="s">
        <v>574</v>
      </c>
      <c r="B510" t="s">
        <v>40</v>
      </c>
      <c r="C510" t="s">
        <v>27</v>
      </c>
      <c r="D510" t="s">
        <v>73</v>
      </c>
      <c r="E510" t="s">
        <v>42</v>
      </c>
      <c r="F510">
        <v>56</v>
      </c>
      <c r="G510">
        <v>268.25</v>
      </c>
      <c r="H510" t="s">
        <v>54</v>
      </c>
      <c r="I510" t="s">
        <v>80</v>
      </c>
      <c r="J510" s="1">
        <v>45058</v>
      </c>
      <c r="K510" s="1">
        <f>DATE(YEAR(subscriptions[[#This Row],[signup_date]]),MONTH(subscriptions[[#This Row],[signup_date]]),1)</f>
        <v>45047</v>
      </c>
      <c r="L510" t="s">
        <v>32</v>
      </c>
      <c r="M510" s="1">
        <v>45111</v>
      </c>
      <c r="N510" s="1">
        <f>IF(subscriptions[[#This Row],[churn_date]]="","",DATE(YEAR(subscriptions[[#This Row],[churn_date]]),MONTH(subscriptions[[#This Row],[churn_date]]),1))</f>
        <v>45108</v>
      </c>
      <c r="O510" t="s">
        <v>61</v>
      </c>
      <c r="P510">
        <v>12</v>
      </c>
      <c r="Q510">
        <v>2</v>
      </c>
      <c r="R510">
        <v>17</v>
      </c>
      <c r="S510" t="str">
        <f t="shared" si="7"/>
        <v>Very Low Usage</v>
      </c>
      <c r="T510" t="s">
        <v>34</v>
      </c>
    </row>
    <row r="511" spans="1:20" x14ac:dyDescent="0.3">
      <c r="A511" t="s">
        <v>575</v>
      </c>
      <c r="B511" t="s">
        <v>45</v>
      </c>
      <c r="C511" t="s">
        <v>27</v>
      </c>
      <c r="D511" t="s">
        <v>73</v>
      </c>
      <c r="E511" t="s">
        <v>47</v>
      </c>
      <c r="F511">
        <v>27</v>
      </c>
      <c r="G511">
        <v>975.1</v>
      </c>
      <c r="H511" t="s">
        <v>54</v>
      </c>
      <c r="I511" t="s">
        <v>66</v>
      </c>
      <c r="J511" s="1">
        <v>45530</v>
      </c>
      <c r="K511" s="1">
        <f>DATE(YEAR(subscriptions[[#This Row],[signup_date]]),MONTH(subscriptions[[#This Row],[signup_date]]),1)</f>
        <v>45505</v>
      </c>
      <c r="L511" t="s">
        <v>32</v>
      </c>
      <c r="M511" s="1">
        <v>45754</v>
      </c>
      <c r="N511" s="1">
        <f>IF(subscriptions[[#This Row],[churn_date]]="","",DATE(YEAR(subscriptions[[#This Row],[churn_date]]),MONTH(subscriptions[[#This Row],[churn_date]]),1))</f>
        <v>45748</v>
      </c>
      <c r="O511" t="s">
        <v>61</v>
      </c>
      <c r="P511">
        <v>9</v>
      </c>
      <c r="Q511">
        <v>2</v>
      </c>
      <c r="R511">
        <v>24</v>
      </c>
      <c r="S511" t="str">
        <f t="shared" si="7"/>
        <v>Moderate Usage</v>
      </c>
      <c r="T511" t="s">
        <v>34</v>
      </c>
    </row>
    <row r="512" spans="1:20" x14ac:dyDescent="0.3">
      <c r="A512" t="s">
        <v>576</v>
      </c>
      <c r="B512" t="s">
        <v>26</v>
      </c>
      <c r="C512" t="s">
        <v>27</v>
      </c>
      <c r="D512" t="s">
        <v>73</v>
      </c>
      <c r="E512" t="s">
        <v>47</v>
      </c>
      <c r="F512">
        <v>25</v>
      </c>
      <c r="G512">
        <v>363.4</v>
      </c>
      <c r="H512" t="s">
        <v>71</v>
      </c>
      <c r="I512" t="s">
        <v>31</v>
      </c>
      <c r="J512" s="1">
        <v>45923</v>
      </c>
      <c r="K512" s="1">
        <f>DATE(YEAR(subscriptions[[#This Row],[signup_date]]),MONTH(subscriptions[[#This Row],[signup_date]]),1)</f>
        <v>45901</v>
      </c>
      <c r="L512" t="s">
        <v>34</v>
      </c>
      <c r="M512" s="1"/>
      <c r="N512" s="1" t="str">
        <f>IF(subscriptions[[#This Row],[churn_date]]="","",DATE(YEAR(subscriptions[[#This Row],[churn_date]]),MONTH(subscriptions[[#This Row],[churn_date]]),1))</f>
        <v/>
      </c>
      <c r="O512" t="s">
        <v>38</v>
      </c>
      <c r="P512">
        <v>6</v>
      </c>
      <c r="Q512">
        <v>4</v>
      </c>
      <c r="R512">
        <v>30</v>
      </c>
      <c r="S512" t="str">
        <f t="shared" si="7"/>
        <v>Moderate Usage</v>
      </c>
      <c r="T512" t="s">
        <v>34</v>
      </c>
    </row>
    <row r="513" spans="1:20" x14ac:dyDescent="0.3">
      <c r="A513" t="s">
        <v>577</v>
      </c>
      <c r="B513" t="s">
        <v>40</v>
      </c>
      <c r="C513" t="s">
        <v>36</v>
      </c>
      <c r="D513" t="s">
        <v>90</v>
      </c>
      <c r="E513" t="s">
        <v>29</v>
      </c>
      <c r="F513">
        <v>26</v>
      </c>
      <c r="G513">
        <v>117.09</v>
      </c>
      <c r="H513" t="s">
        <v>54</v>
      </c>
      <c r="I513" t="s">
        <v>48</v>
      </c>
      <c r="J513" s="1">
        <v>44943</v>
      </c>
      <c r="K513" s="1">
        <f>DATE(YEAR(subscriptions[[#This Row],[signup_date]]),MONTH(subscriptions[[#This Row],[signup_date]]),1)</f>
        <v>44927</v>
      </c>
      <c r="L513" t="s">
        <v>32</v>
      </c>
      <c r="M513" s="1">
        <v>45085</v>
      </c>
      <c r="N513" s="1">
        <f>IF(subscriptions[[#This Row],[churn_date]]="","",DATE(YEAR(subscriptions[[#This Row],[churn_date]]),MONTH(subscriptions[[#This Row],[churn_date]]),1))</f>
        <v>45078</v>
      </c>
      <c r="O513" t="s">
        <v>64</v>
      </c>
      <c r="P513">
        <v>15</v>
      </c>
      <c r="Q513">
        <v>2</v>
      </c>
      <c r="R513">
        <v>36</v>
      </c>
      <c r="S513" t="str">
        <f t="shared" si="7"/>
        <v>Moderate Usage</v>
      </c>
      <c r="T513" t="s">
        <v>34</v>
      </c>
    </row>
    <row r="514" spans="1:20" x14ac:dyDescent="0.3">
      <c r="A514" t="s">
        <v>578</v>
      </c>
      <c r="B514" t="s">
        <v>26</v>
      </c>
      <c r="C514" t="s">
        <v>36</v>
      </c>
      <c r="D514" t="s">
        <v>73</v>
      </c>
      <c r="E514" t="s">
        <v>53</v>
      </c>
      <c r="F514">
        <v>8</v>
      </c>
      <c r="G514">
        <v>137.66</v>
      </c>
      <c r="H514" t="s">
        <v>54</v>
      </c>
      <c r="I514" t="s">
        <v>31</v>
      </c>
      <c r="J514" s="1">
        <v>45311</v>
      </c>
      <c r="K514" s="1">
        <f>DATE(YEAR(subscriptions[[#This Row],[signup_date]]),MONTH(subscriptions[[#This Row],[signup_date]]),1)</f>
        <v>45292</v>
      </c>
      <c r="L514" t="s">
        <v>32</v>
      </c>
      <c r="M514" s="1">
        <v>45323</v>
      </c>
      <c r="N514" s="1">
        <f>IF(subscriptions[[#This Row],[churn_date]]="","",DATE(YEAR(subscriptions[[#This Row],[churn_date]]),MONTH(subscriptions[[#This Row],[churn_date]]),1))</f>
        <v>45323</v>
      </c>
      <c r="O514" t="s">
        <v>67</v>
      </c>
      <c r="P514">
        <v>6</v>
      </c>
      <c r="Q514">
        <v>5</v>
      </c>
      <c r="R514">
        <v>13</v>
      </c>
      <c r="S514" t="str">
        <f t="shared" ref="S514:S577" si="8">IF(R514&lt;=20,"Very Low Usage",
IF(R514&lt;=50,"Moderate Usage",
IF(R514&lt;=80,"High Usage",
"Very High Usage")))</f>
        <v>Very Low Usage</v>
      </c>
      <c r="T514" t="s">
        <v>34</v>
      </c>
    </row>
    <row r="515" spans="1:20" x14ac:dyDescent="0.3">
      <c r="A515" t="s">
        <v>579</v>
      </c>
      <c r="B515" t="s">
        <v>45</v>
      </c>
      <c r="C515" t="s">
        <v>27</v>
      </c>
      <c r="D515" t="s">
        <v>41</v>
      </c>
      <c r="E515" t="s">
        <v>56</v>
      </c>
      <c r="F515">
        <v>68</v>
      </c>
      <c r="G515">
        <v>2198.9499999999998</v>
      </c>
      <c r="H515" t="s">
        <v>71</v>
      </c>
      <c r="I515" t="s">
        <v>80</v>
      </c>
      <c r="J515" s="1">
        <v>45318</v>
      </c>
      <c r="K515" s="1">
        <f>DATE(YEAR(subscriptions[[#This Row],[signup_date]]),MONTH(subscriptions[[#This Row],[signup_date]]),1)</f>
        <v>45292</v>
      </c>
      <c r="L515" t="s">
        <v>32</v>
      </c>
      <c r="M515" s="1">
        <v>45462</v>
      </c>
      <c r="N515" s="1">
        <f>IF(subscriptions[[#This Row],[churn_date]]="","",DATE(YEAR(subscriptions[[#This Row],[churn_date]]),MONTH(subscriptions[[#This Row],[churn_date]]),1))</f>
        <v>45444</v>
      </c>
      <c r="O515" t="s">
        <v>64</v>
      </c>
      <c r="P515">
        <v>15</v>
      </c>
      <c r="Q515">
        <v>1</v>
      </c>
      <c r="R515">
        <v>19</v>
      </c>
      <c r="S515" t="str">
        <f t="shared" si="8"/>
        <v>Very Low Usage</v>
      </c>
      <c r="T515" t="s">
        <v>34</v>
      </c>
    </row>
    <row r="516" spans="1:20" x14ac:dyDescent="0.3">
      <c r="A516" t="s">
        <v>580</v>
      </c>
      <c r="B516" t="s">
        <v>82</v>
      </c>
      <c r="C516" t="s">
        <v>27</v>
      </c>
      <c r="D516" t="s">
        <v>41</v>
      </c>
      <c r="E516" t="s">
        <v>53</v>
      </c>
      <c r="F516">
        <v>2</v>
      </c>
      <c r="G516">
        <v>573.85</v>
      </c>
      <c r="H516" t="s">
        <v>30</v>
      </c>
      <c r="I516" t="s">
        <v>31</v>
      </c>
      <c r="J516" s="1">
        <v>44652</v>
      </c>
      <c r="K516" s="1">
        <f>DATE(YEAR(subscriptions[[#This Row],[signup_date]]),MONTH(subscriptions[[#This Row],[signup_date]]),1)</f>
        <v>44652</v>
      </c>
      <c r="L516" t="s">
        <v>34</v>
      </c>
      <c r="M516" s="1"/>
      <c r="N516" s="1" t="str">
        <f>IF(subscriptions[[#This Row],[churn_date]]="","",DATE(YEAR(subscriptions[[#This Row],[churn_date]]),MONTH(subscriptions[[#This Row],[churn_date]]),1))</f>
        <v/>
      </c>
      <c r="O516" t="s">
        <v>38</v>
      </c>
      <c r="P516">
        <v>7</v>
      </c>
      <c r="Q516">
        <v>8</v>
      </c>
      <c r="R516">
        <v>28</v>
      </c>
      <c r="S516" t="str">
        <f t="shared" si="8"/>
        <v>Moderate Usage</v>
      </c>
      <c r="T516" t="s">
        <v>34</v>
      </c>
    </row>
    <row r="517" spans="1:20" x14ac:dyDescent="0.3">
      <c r="A517" t="s">
        <v>581</v>
      </c>
      <c r="B517" t="s">
        <v>45</v>
      </c>
      <c r="C517" t="s">
        <v>27</v>
      </c>
      <c r="D517" t="s">
        <v>73</v>
      </c>
      <c r="E517" t="s">
        <v>29</v>
      </c>
      <c r="F517">
        <v>42</v>
      </c>
      <c r="G517">
        <v>1422.85</v>
      </c>
      <c r="H517" t="s">
        <v>43</v>
      </c>
      <c r="I517" t="s">
        <v>48</v>
      </c>
      <c r="J517" s="1">
        <v>45612</v>
      </c>
      <c r="K517" s="1">
        <f>DATE(YEAR(subscriptions[[#This Row],[signup_date]]),MONTH(subscriptions[[#This Row],[signup_date]]),1)</f>
        <v>45597</v>
      </c>
      <c r="L517" t="s">
        <v>34</v>
      </c>
      <c r="M517" s="1"/>
      <c r="N517" s="1" t="str">
        <f>IF(subscriptions[[#This Row],[churn_date]]="","",DATE(YEAR(subscriptions[[#This Row],[churn_date]]),MONTH(subscriptions[[#This Row],[churn_date]]),1))</f>
        <v/>
      </c>
      <c r="O517" t="s">
        <v>38</v>
      </c>
      <c r="P517">
        <v>10</v>
      </c>
      <c r="Q517">
        <v>2</v>
      </c>
      <c r="R517">
        <v>17</v>
      </c>
      <c r="S517" t="str">
        <f t="shared" si="8"/>
        <v>Very Low Usage</v>
      </c>
      <c r="T517" t="s">
        <v>34</v>
      </c>
    </row>
    <row r="518" spans="1:20" x14ac:dyDescent="0.3">
      <c r="A518" t="s">
        <v>582</v>
      </c>
      <c r="B518" t="s">
        <v>26</v>
      </c>
      <c r="C518" t="s">
        <v>27</v>
      </c>
      <c r="D518" t="s">
        <v>63</v>
      </c>
      <c r="E518" t="s">
        <v>29</v>
      </c>
      <c r="F518">
        <v>59</v>
      </c>
      <c r="G518">
        <v>766.3</v>
      </c>
      <c r="H518" t="s">
        <v>109</v>
      </c>
      <c r="I518" t="s">
        <v>48</v>
      </c>
      <c r="J518" s="1">
        <v>45412</v>
      </c>
      <c r="K518" s="1">
        <f>DATE(YEAR(subscriptions[[#This Row],[signup_date]]),MONTH(subscriptions[[#This Row],[signup_date]]),1)</f>
        <v>45383</v>
      </c>
      <c r="L518" t="s">
        <v>32</v>
      </c>
      <c r="M518" s="1">
        <v>45579</v>
      </c>
      <c r="N518" s="1">
        <f>IF(subscriptions[[#This Row],[churn_date]]="","",DATE(YEAR(subscriptions[[#This Row],[churn_date]]),MONTH(subscriptions[[#This Row],[churn_date]]),1))</f>
        <v>45566</v>
      </c>
      <c r="O518" t="s">
        <v>67</v>
      </c>
      <c r="P518">
        <v>12</v>
      </c>
      <c r="Q518">
        <v>4</v>
      </c>
      <c r="R518">
        <v>42</v>
      </c>
      <c r="S518" t="str">
        <f t="shared" si="8"/>
        <v>Moderate Usage</v>
      </c>
      <c r="T518" t="s">
        <v>34</v>
      </c>
    </row>
    <row r="519" spans="1:20" x14ac:dyDescent="0.3">
      <c r="A519" t="s">
        <v>583</v>
      </c>
      <c r="B519" t="s">
        <v>40</v>
      </c>
      <c r="C519" t="s">
        <v>36</v>
      </c>
      <c r="D519" t="s">
        <v>50</v>
      </c>
      <c r="E519" t="s">
        <v>47</v>
      </c>
      <c r="F519">
        <v>21</v>
      </c>
      <c r="G519">
        <v>98.6</v>
      </c>
      <c r="H519" t="s">
        <v>71</v>
      </c>
      <c r="I519" t="s">
        <v>31</v>
      </c>
      <c r="J519" s="1">
        <v>45797</v>
      </c>
      <c r="K519" s="1">
        <f>DATE(YEAR(subscriptions[[#This Row],[signup_date]]),MONTH(subscriptions[[#This Row],[signup_date]]),1)</f>
        <v>45778</v>
      </c>
      <c r="L519" t="s">
        <v>34</v>
      </c>
      <c r="M519" s="1"/>
      <c r="N519" s="1" t="str">
        <f>IF(subscriptions[[#This Row],[churn_date]]="","",DATE(YEAR(subscriptions[[#This Row],[churn_date]]),MONTH(subscriptions[[#This Row],[churn_date]]),1))</f>
        <v/>
      </c>
      <c r="O519" t="s">
        <v>38</v>
      </c>
      <c r="P519">
        <v>4</v>
      </c>
      <c r="Q519">
        <v>7</v>
      </c>
      <c r="R519">
        <v>71</v>
      </c>
      <c r="S519" t="str">
        <f t="shared" si="8"/>
        <v>High Usage</v>
      </c>
      <c r="T519" t="s">
        <v>34</v>
      </c>
    </row>
    <row r="520" spans="1:20" x14ac:dyDescent="0.3">
      <c r="A520" t="s">
        <v>584</v>
      </c>
      <c r="B520" t="s">
        <v>45</v>
      </c>
      <c r="C520" t="s">
        <v>36</v>
      </c>
      <c r="D520" t="s">
        <v>60</v>
      </c>
      <c r="E520" t="s">
        <v>47</v>
      </c>
      <c r="F520">
        <v>34</v>
      </c>
      <c r="G520">
        <v>1006.44</v>
      </c>
      <c r="H520" t="s">
        <v>71</v>
      </c>
      <c r="I520" t="s">
        <v>66</v>
      </c>
      <c r="J520" s="1">
        <v>44791</v>
      </c>
      <c r="K520" s="1">
        <f>DATE(YEAR(subscriptions[[#This Row],[signup_date]]),MONTH(subscriptions[[#This Row],[signup_date]]),1)</f>
        <v>44774</v>
      </c>
      <c r="L520" t="s">
        <v>34</v>
      </c>
      <c r="M520" s="1"/>
      <c r="N520" s="1" t="str">
        <f>IF(subscriptions[[#This Row],[churn_date]]="","",DATE(YEAR(subscriptions[[#This Row],[churn_date]]),MONTH(subscriptions[[#This Row],[churn_date]]),1))</f>
        <v/>
      </c>
      <c r="O520" t="s">
        <v>38</v>
      </c>
      <c r="P520">
        <v>10</v>
      </c>
      <c r="Q520">
        <v>4</v>
      </c>
      <c r="R520">
        <v>84</v>
      </c>
      <c r="S520" t="str">
        <f t="shared" si="8"/>
        <v>Very High Usage</v>
      </c>
      <c r="T520" t="s">
        <v>34</v>
      </c>
    </row>
    <row r="521" spans="1:20" x14ac:dyDescent="0.3">
      <c r="A521" t="s">
        <v>585</v>
      </c>
      <c r="B521" t="s">
        <v>26</v>
      </c>
      <c r="C521" t="s">
        <v>27</v>
      </c>
      <c r="D521" t="s">
        <v>63</v>
      </c>
      <c r="E521" t="s">
        <v>47</v>
      </c>
      <c r="F521">
        <v>31</v>
      </c>
      <c r="G521">
        <v>434.5</v>
      </c>
      <c r="H521" t="s">
        <v>71</v>
      </c>
      <c r="I521" t="s">
        <v>48</v>
      </c>
      <c r="J521" s="1">
        <v>44724</v>
      </c>
      <c r="K521" s="1">
        <f>DATE(YEAR(subscriptions[[#This Row],[signup_date]]),MONTH(subscriptions[[#This Row],[signup_date]]),1)</f>
        <v>44713</v>
      </c>
      <c r="L521" t="s">
        <v>32</v>
      </c>
      <c r="M521" s="1">
        <v>45412</v>
      </c>
      <c r="N521" s="1">
        <f>IF(subscriptions[[#This Row],[churn_date]]="","",DATE(YEAR(subscriptions[[#This Row],[churn_date]]),MONTH(subscriptions[[#This Row],[churn_date]]),1))</f>
        <v>45383</v>
      </c>
      <c r="O521" t="s">
        <v>61</v>
      </c>
      <c r="P521">
        <v>10</v>
      </c>
      <c r="Q521">
        <v>4</v>
      </c>
      <c r="R521">
        <v>20</v>
      </c>
      <c r="S521" t="str">
        <f t="shared" si="8"/>
        <v>Very Low Usage</v>
      </c>
      <c r="T521" t="s">
        <v>34</v>
      </c>
    </row>
    <row r="522" spans="1:20" x14ac:dyDescent="0.3">
      <c r="A522" t="s">
        <v>586</v>
      </c>
      <c r="B522" t="s">
        <v>82</v>
      </c>
      <c r="C522" t="s">
        <v>27</v>
      </c>
      <c r="D522" t="s">
        <v>41</v>
      </c>
      <c r="E522" t="s">
        <v>53</v>
      </c>
      <c r="F522">
        <v>4</v>
      </c>
      <c r="G522">
        <v>723.55</v>
      </c>
      <c r="H522" t="s">
        <v>30</v>
      </c>
      <c r="I522" t="s">
        <v>66</v>
      </c>
      <c r="J522" s="1">
        <v>45505</v>
      </c>
      <c r="K522" s="1">
        <f>DATE(YEAR(subscriptions[[#This Row],[signup_date]]),MONTH(subscriptions[[#This Row],[signup_date]]),1)</f>
        <v>45505</v>
      </c>
      <c r="L522" t="s">
        <v>32</v>
      </c>
      <c r="M522" s="1">
        <v>45787</v>
      </c>
      <c r="N522" s="1">
        <f>IF(subscriptions[[#This Row],[churn_date]]="","",DATE(YEAR(subscriptions[[#This Row],[churn_date]]),MONTH(subscriptions[[#This Row],[churn_date]]),1))</f>
        <v>45778</v>
      </c>
      <c r="O522" t="s">
        <v>67</v>
      </c>
      <c r="P522">
        <v>5</v>
      </c>
      <c r="Q522">
        <v>6</v>
      </c>
      <c r="R522">
        <v>31</v>
      </c>
      <c r="S522" t="str">
        <f t="shared" si="8"/>
        <v>Moderate Usage</v>
      </c>
      <c r="T522" t="s">
        <v>34</v>
      </c>
    </row>
    <row r="523" spans="1:20" x14ac:dyDescent="0.3">
      <c r="A523" t="s">
        <v>587</v>
      </c>
      <c r="B523" t="s">
        <v>82</v>
      </c>
      <c r="C523" t="s">
        <v>27</v>
      </c>
      <c r="D523" t="s">
        <v>52</v>
      </c>
      <c r="E523" t="s">
        <v>53</v>
      </c>
      <c r="F523">
        <v>7</v>
      </c>
      <c r="G523">
        <v>948.1</v>
      </c>
      <c r="H523" t="s">
        <v>37</v>
      </c>
      <c r="I523" t="s">
        <v>66</v>
      </c>
      <c r="J523" s="1">
        <v>45103</v>
      </c>
      <c r="K523" s="1">
        <f>DATE(YEAR(subscriptions[[#This Row],[signup_date]]),MONTH(subscriptions[[#This Row],[signup_date]]),1)</f>
        <v>45078</v>
      </c>
      <c r="L523" t="s">
        <v>34</v>
      </c>
      <c r="M523" s="1"/>
      <c r="N523" s="1" t="str">
        <f>IF(subscriptions[[#This Row],[churn_date]]="","",DATE(YEAR(subscriptions[[#This Row],[churn_date]]),MONTH(subscriptions[[#This Row],[churn_date]]),1))</f>
        <v/>
      </c>
      <c r="O523" t="s">
        <v>38</v>
      </c>
      <c r="P523">
        <v>0</v>
      </c>
      <c r="Q523">
        <v>5</v>
      </c>
      <c r="R523">
        <v>83</v>
      </c>
      <c r="S523" t="str">
        <f t="shared" si="8"/>
        <v>Very High Usage</v>
      </c>
      <c r="T523" t="s">
        <v>34</v>
      </c>
    </row>
    <row r="524" spans="1:20" x14ac:dyDescent="0.3">
      <c r="A524" t="s">
        <v>588</v>
      </c>
      <c r="B524" t="s">
        <v>45</v>
      </c>
      <c r="C524" t="s">
        <v>27</v>
      </c>
      <c r="D524" t="s">
        <v>63</v>
      </c>
      <c r="E524" t="s">
        <v>53</v>
      </c>
      <c r="F524">
        <v>7</v>
      </c>
      <c r="G524">
        <v>378.1</v>
      </c>
      <c r="H524" t="s">
        <v>43</v>
      </c>
      <c r="I524" t="s">
        <v>48</v>
      </c>
      <c r="J524" s="1">
        <v>45298</v>
      </c>
      <c r="K524" s="1">
        <f>DATE(YEAR(subscriptions[[#This Row],[signup_date]]),MONTH(subscriptions[[#This Row],[signup_date]]),1)</f>
        <v>45292</v>
      </c>
      <c r="L524" t="s">
        <v>32</v>
      </c>
      <c r="M524" s="1">
        <v>45773</v>
      </c>
      <c r="N524" s="1">
        <f>IF(subscriptions[[#This Row],[churn_date]]="","",DATE(YEAR(subscriptions[[#This Row],[churn_date]]),MONTH(subscriptions[[#This Row],[churn_date]]),1))</f>
        <v>45748</v>
      </c>
      <c r="O524" t="s">
        <v>93</v>
      </c>
      <c r="P524">
        <v>0</v>
      </c>
      <c r="Q524">
        <v>1</v>
      </c>
      <c r="R524">
        <v>36</v>
      </c>
      <c r="S524" t="str">
        <f t="shared" si="8"/>
        <v>Moderate Usage</v>
      </c>
      <c r="T524" t="s">
        <v>34</v>
      </c>
    </row>
    <row r="525" spans="1:20" x14ac:dyDescent="0.3">
      <c r="A525" t="s">
        <v>589</v>
      </c>
      <c r="B525" t="s">
        <v>26</v>
      </c>
      <c r="C525" t="s">
        <v>27</v>
      </c>
      <c r="D525" t="s">
        <v>60</v>
      </c>
      <c r="E525" t="s">
        <v>29</v>
      </c>
      <c r="F525">
        <v>59</v>
      </c>
      <c r="G525">
        <v>766.3</v>
      </c>
      <c r="H525" t="s">
        <v>43</v>
      </c>
      <c r="I525" t="s">
        <v>31</v>
      </c>
      <c r="J525" s="1">
        <v>44599</v>
      </c>
      <c r="K525" s="1">
        <f>DATE(YEAR(subscriptions[[#This Row],[signup_date]]),MONTH(subscriptions[[#This Row],[signup_date]]),1)</f>
        <v>44593</v>
      </c>
      <c r="L525" t="s">
        <v>34</v>
      </c>
      <c r="M525" s="1"/>
      <c r="N525" s="1" t="str">
        <f>IF(subscriptions[[#This Row],[churn_date]]="","",DATE(YEAR(subscriptions[[#This Row],[churn_date]]),MONTH(subscriptions[[#This Row],[churn_date]]),1))</f>
        <v/>
      </c>
      <c r="O525" t="s">
        <v>38</v>
      </c>
      <c r="P525">
        <v>2</v>
      </c>
      <c r="Q525">
        <v>7</v>
      </c>
      <c r="R525">
        <v>51</v>
      </c>
      <c r="S525" t="str">
        <f t="shared" si="8"/>
        <v>High Usage</v>
      </c>
      <c r="T525" t="s">
        <v>34</v>
      </c>
    </row>
    <row r="526" spans="1:20" x14ac:dyDescent="0.3">
      <c r="A526" t="s">
        <v>590</v>
      </c>
      <c r="B526" t="s">
        <v>82</v>
      </c>
      <c r="C526" t="s">
        <v>36</v>
      </c>
      <c r="D526" t="s">
        <v>50</v>
      </c>
      <c r="E526" t="s">
        <v>53</v>
      </c>
      <c r="F526">
        <v>1</v>
      </c>
      <c r="G526">
        <v>424.15</v>
      </c>
      <c r="H526" t="s">
        <v>71</v>
      </c>
      <c r="I526" t="s">
        <v>80</v>
      </c>
      <c r="J526" s="1">
        <v>44774</v>
      </c>
      <c r="K526" s="1">
        <f>DATE(YEAR(subscriptions[[#This Row],[signup_date]]),MONTH(subscriptions[[#This Row],[signup_date]]),1)</f>
        <v>44774</v>
      </c>
      <c r="L526" t="s">
        <v>34</v>
      </c>
      <c r="M526" s="1"/>
      <c r="N526" s="1" t="str">
        <f>IF(subscriptions[[#This Row],[churn_date]]="","",DATE(YEAR(subscriptions[[#This Row],[churn_date]]),MONTH(subscriptions[[#This Row],[churn_date]]),1))</f>
        <v/>
      </c>
      <c r="O526" t="s">
        <v>38</v>
      </c>
      <c r="P526">
        <v>2</v>
      </c>
      <c r="Q526">
        <v>1</v>
      </c>
      <c r="R526">
        <v>65</v>
      </c>
      <c r="S526" t="str">
        <f t="shared" si="8"/>
        <v>High Usage</v>
      </c>
      <c r="T526" t="s">
        <v>34</v>
      </c>
    </row>
    <row r="527" spans="1:20" x14ac:dyDescent="0.3">
      <c r="A527" t="s">
        <v>591</v>
      </c>
      <c r="B527" t="s">
        <v>26</v>
      </c>
      <c r="C527" t="s">
        <v>27</v>
      </c>
      <c r="D527" t="s">
        <v>46</v>
      </c>
      <c r="E527" t="s">
        <v>53</v>
      </c>
      <c r="F527">
        <v>8</v>
      </c>
      <c r="G527">
        <v>161.94999999999999</v>
      </c>
      <c r="H527" t="s">
        <v>71</v>
      </c>
      <c r="I527" t="s">
        <v>80</v>
      </c>
      <c r="J527" s="1">
        <v>45047</v>
      </c>
      <c r="K527" s="1">
        <f>DATE(YEAR(subscriptions[[#This Row],[signup_date]]),MONTH(subscriptions[[#This Row],[signup_date]]),1)</f>
        <v>45047</v>
      </c>
      <c r="L527" t="s">
        <v>32</v>
      </c>
      <c r="M527" s="1">
        <v>45101</v>
      </c>
      <c r="N527" s="1">
        <f>IF(subscriptions[[#This Row],[churn_date]]="","",DATE(YEAR(subscriptions[[#This Row],[churn_date]]),MONTH(subscriptions[[#This Row],[churn_date]]),1))</f>
        <v>45078</v>
      </c>
      <c r="O527" t="s">
        <v>64</v>
      </c>
      <c r="P527">
        <v>3</v>
      </c>
      <c r="Q527">
        <v>1</v>
      </c>
      <c r="R527">
        <v>27</v>
      </c>
      <c r="S527" t="str">
        <f t="shared" si="8"/>
        <v>Moderate Usage</v>
      </c>
      <c r="T527" t="s">
        <v>34</v>
      </c>
    </row>
    <row r="528" spans="1:20" x14ac:dyDescent="0.3">
      <c r="A528" t="s">
        <v>592</v>
      </c>
      <c r="B528" t="s">
        <v>45</v>
      </c>
      <c r="C528" t="s">
        <v>36</v>
      </c>
      <c r="D528" t="s">
        <v>60</v>
      </c>
      <c r="E528" t="s">
        <v>56</v>
      </c>
      <c r="F528">
        <v>50</v>
      </c>
      <c r="G528">
        <v>1412.4</v>
      </c>
      <c r="H528" t="s">
        <v>71</v>
      </c>
      <c r="I528" t="s">
        <v>48</v>
      </c>
      <c r="J528" s="1">
        <v>45943</v>
      </c>
      <c r="K528" s="1">
        <f>DATE(YEAR(subscriptions[[#This Row],[signup_date]]),MONTH(subscriptions[[#This Row],[signup_date]]),1)</f>
        <v>45931</v>
      </c>
      <c r="L528" t="s">
        <v>34</v>
      </c>
      <c r="M528" s="1"/>
      <c r="N528" s="1" t="str">
        <f>IF(subscriptions[[#This Row],[churn_date]]="","",DATE(YEAR(subscriptions[[#This Row],[churn_date]]),MONTH(subscriptions[[#This Row],[churn_date]]),1))</f>
        <v/>
      </c>
      <c r="O528" t="s">
        <v>38</v>
      </c>
      <c r="P528">
        <v>12</v>
      </c>
      <c r="Q528">
        <v>5</v>
      </c>
      <c r="R528">
        <v>91</v>
      </c>
      <c r="S528" t="str">
        <f t="shared" si="8"/>
        <v>Very High Usage</v>
      </c>
      <c r="T528" t="s">
        <v>34</v>
      </c>
    </row>
    <row r="529" spans="1:20" x14ac:dyDescent="0.3">
      <c r="A529" t="s">
        <v>593</v>
      </c>
      <c r="B529" t="s">
        <v>40</v>
      </c>
      <c r="C529" t="s">
        <v>27</v>
      </c>
      <c r="D529" t="s">
        <v>79</v>
      </c>
      <c r="E529" t="s">
        <v>53</v>
      </c>
      <c r="F529">
        <v>7</v>
      </c>
      <c r="G529">
        <v>55.1</v>
      </c>
      <c r="H529" t="s">
        <v>54</v>
      </c>
      <c r="I529" t="s">
        <v>66</v>
      </c>
      <c r="J529" s="1">
        <v>45276</v>
      </c>
      <c r="K529" s="1">
        <f>DATE(YEAR(subscriptions[[#This Row],[signup_date]]),MONTH(subscriptions[[#This Row],[signup_date]]),1)</f>
        <v>45261</v>
      </c>
      <c r="L529" t="s">
        <v>32</v>
      </c>
      <c r="M529" s="1">
        <v>45871</v>
      </c>
      <c r="N529" s="1">
        <f>IF(subscriptions[[#This Row],[churn_date]]="","",DATE(YEAR(subscriptions[[#This Row],[churn_date]]),MONTH(subscriptions[[#This Row],[churn_date]]),1))</f>
        <v>45870</v>
      </c>
      <c r="O529" t="s">
        <v>67</v>
      </c>
      <c r="P529">
        <v>6</v>
      </c>
      <c r="Q529">
        <v>3</v>
      </c>
      <c r="R529">
        <v>36</v>
      </c>
      <c r="S529" t="str">
        <f t="shared" si="8"/>
        <v>Moderate Usage</v>
      </c>
      <c r="T529" t="s">
        <v>34</v>
      </c>
    </row>
    <row r="530" spans="1:20" x14ac:dyDescent="0.3">
      <c r="A530" t="s">
        <v>594</v>
      </c>
      <c r="B530" t="s">
        <v>45</v>
      </c>
      <c r="C530" t="s">
        <v>36</v>
      </c>
      <c r="D530" t="s">
        <v>90</v>
      </c>
      <c r="E530" t="s">
        <v>29</v>
      </c>
      <c r="F530">
        <v>49</v>
      </c>
      <c r="G530">
        <v>1387.03</v>
      </c>
      <c r="H530" t="s">
        <v>54</v>
      </c>
      <c r="I530" t="s">
        <v>80</v>
      </c>
      <c r="J530" s="1">
        <v>45714</v>
      </c>
      <c r="K530" s="1">
        <f>DATE(YEAR(subscriptions[[#This Row],[signup_date]]),MONTH(subscriptions[[#This Row],[signup_date]]),1)</f>
        <v>45689</v>
      </c>
      <c r="L530" t="s">
        <v>34</v>
      </c>
      <c r="M530" s="1"/>
      <c r="N530" s="1" t="str">
        <f>IF(subscriptions[[#This Row],[churn_date]]="","",DATE(YEAR(subscriptions[[#This Row],[churn_date]]),MONTH(subscriptions[[#This Row],[churn_date]]),1))</f>
        <v/>
      </c>
      <c r="O530" t="s">
        <v>38</v>
      </c>
      <c r="P530">
        <v>12</v>
      </c>
      <c r="Q530">
        <v>9</v>
      </c>
      <c r="R530">
        <v>82</v>
      </c>
      <c r="S530" t="str">
        <f t="shared" si="8"/>
        <v>Very High Usage</v>
      </c>
      <c r="T530" t="s">
        <v>34</v>
      </c>
    </row>
    <row r="531" spans="1:20" x14ac:dyDescent="0.3">
      <c r="A531" t="s">
        <v>595</v>
      </c>
      <c r="B531" t="s">
        <v>82</v>
      </c>
      <c r="C531" t="s">
        <v>27</v>
      </c>
      <c r="D531" t="s">
        <v>79</v>
      </c>
      <c r="E531" t="s">
        <v>47</v>
      </c>
      <c r="F531">
        <v>31</v>
      </c>
      <c r="G531">
        <v>2744.5</v>
      </c>
      <c r="H531" t="s">
        <v>43</v>
      </c>
      <c r="I531" t="s">
        <v>48</v>
      </c>
      <c r="J531" s="1">
        <v>45044</v>
      </c>
      <c r="K531" s="1">
        <f>DATE(YEAR(subscriptions[[#This Row],[signup_date]]),MONTH(subscriptions[[#This Row],[signup_date]]),1)</f>
        <v>45017</v>
      </c>
      <c r="L531" t="s">
        <v>34</v>
      </c>
      <c r="M531" s="1"/>
      <c r="N531" s="1" t="str">
        <f>IF(subscriptions[[#This Row],[churn_date]]="","",DATE(YEAR(subscriptions[[#This Row],[churn_date]]),MONTH(subscriptions[[#This Row],[churn_date]]),1))</f>
        <v/>
      </c>
      <c r="O531" t="s">
        <v>38</v>
      </c>
      <c r="P531">
        <v>11</v>
      </c>
      <c r="Q531">
        <v>3</v>
      </c>
      <c r="R531">
        <v>15</v>
      </c>
      <c r="S531" t="str">
        <f t="shared" si="8"/>
        <v>Very Low Usage</v>
      </c>
      <c r="T531" t="s">
        <v>34</v>
      </c>
    </row>
    <row r="532" spans="1:20" x14ac:dyDescent="0.3">
      <c r="A532" t="s">
        <v>596</v>
      </c>
      <c r="B532" t="s">
        <v>26</v>
      </c>
      <c r="C532" t="s">
        <v>27</v>
      </c>
      <c r="D532" t="s">
        <v>46</v>
      </c>
      <c r="E532" t="s">
        <v>47</v>
      </c>
      <c r="F532">
        <v>20</v>
      </c>
      <c r="G532">
        <v>304.14999999999998</v>
      </c>
      <c r="H532" t="s">
        <v>30</v>
      </c>
      <c r="I532" t="s">
        <v>31</v>
      </c>
      <c r="J532" s="1">
        <v>45150</v>
      </c>
      <c r="K532" s="1">
        <f>DATE(YEAR(subscriptions[[#This Row],[signup_date]]),MONTH(subscriptions[[#This Row],[signup_date]]),1)</f>
        <v>45139</v>
      </c>
      <c r="L532" t="s">
        <v>34</v>
      </c>
      <c r="M532" s="1"/>
      <c r="N532" s="1" t="str">
        <f>IF(subscriptions[[#This Row],[churn_date]]="","",DATE(YEAR(subscriptions[[#This Row],[churn_date]]),MONTH(subscriptions[[#This Row],[churn_date]]),1))</f>
        <v/>
      </c>
      <c r="O532" t="s">
        <v>38</v>
      </c>
      <c r="P532">
        <v>10</v>
      </c>
      <c r="Q532">
        <v>1</v>
      </c>
      <c r="R532">
        <v>76</v>
      </c>
      <c r="S532" t="str">
        <f t="shared" si="8"/>
        <v>High Usage</v>
      </c>
      <c r="T532" t="s">
        <v>34</v>
      </c>
    </row>
    <row r="533" spans="1:20" x14ac:dyDescent="0.3">
      <c r="A533" t="s">
        <v>597</v>
      </c>
      <c r="B533" t="s">
        <v>40</v>
      </c>
      <c r="C533" t="s">
        <v>36</v>
      </c>
      <c r="D533" t="s">
        <v>79</v>
      </c>
      <c r="E533" t="s">
        <v>29</v>
      </c>
      <c r="F533">
        <v>67</v>
      </c>
      <c r="G533">
        <v>268.69</v>
      </c>
      <c r="H533" t="s">
        <v>43</v>
      </c>
      <c r="I533" t="s">
        <v>66</v>
      </c>
      <c r="J533" s="1">
        <v>45523</v>
      </c>
      <c r="K533" s="1">
        <f>DATE(YEAR(subscriptions[[#This Row],[signup_date]]),MONTH(subscriptions[[#This Row],[signup_date]]),1)</f>
        <v>45505</v>
      </c>
      <c r="L533" t="s">
        <v>34</v>
      </c>
      <c r="M533" s="1"/>
      <c r="N533" s="1" t="str">
        <f>IF(subscriptions[[#This Row],[churn_date]]="","",DATE(YEAR(subscriptions[[#This Row],[churn_date]]),MONTH(subscriptions[[#This Row],[churn_date]]),1))</f>
        <v/>
      </c>
      <c r="O533" t="s">
        <v>38</v>
      </c>
      <c r="P533">
        <v>3</v>
      </c>
      <c r="Q533">
        <v>6</v>
      </c>
      <c r="R533">
        <v>55</v>
      </c>
      <c r="S533" t="str">
        <f t="shared" si="8"/>
        <v>High Usage</v>
      </c>
      <c r="T533" t="s">
        <v>34</v>
      </c>
    </row>
    <row r="534" spans="1:20" x14ac:dyDescent="0.3">
      <c r="A534" t="s">
        <v>598</v>
      </c>
      <c r="B534" t="s">
        <v>82</v>
      </c>
      <c r="C534" t="s">
        <v>27</v>
      </c>
      <c r="D534" t="s">
        <v>63</v>
      </c>
      <c r="E534" t="s">
        <v>56</v>
      </c>
      <c r="F534">
        <v>85</v>
      </c>
      <c r="G534">
        <v>6786.4</v>
      </c>
      <c r="H534" t="s">
        <v>37</v>
      </c>
      <c r="I534" t="s">
        <v>48</v>
      </c>
      <c r="J534" s="1">
        <v>45490</v>
      </c>
      <c r="K534" s="1">
        <f>DATE(YEAR(subscriptions[[#This Row],[signup_date]]),MONTH(subscriptions[[#This Row],[signup_date]]),1)</f>
        <v>45474</v>
      </c>
      <c r="L534" t="s">
        <v>34</v>
      </c>
      <c r="M534" s="1"/>
      <c r="N534" s="1" t="str">
        <f>IF(subscriptions[[#This Row],[churn_date]]="","",DATE(YEAR(subscriptions[[#This Row],[churn_date]]),MONTH(subscriptions[[#This Row],[churn_date]]),1))</f>
        <v/>
      </c>
      <c r="O534" t="s">
        <v>38</v>
      </c>
      <c r="P534">
        <v>4</v>
      </c>
      <c r="Q534">
        <v>7</v>
      </c>
      <c r="R534">
        <v>54</v>
      </c>
      <c r="S534" t="str">
        <f t="shared" si="8"/>
        <v>High Usage</v>
      </c>
      <c r="T534" t="s">
        <v>32</v>
      </c>
    </row>
    <row r="535" spans="1:20" x14ac:dyDescent="0.3">
      <c r="A535" t="s">
        <v>599</v>
      </c>
      <c r="B535" t="s">
        <v>40</v>
      </c>
      <c r="C535" t="s">
        <v>27</v>
      </c>
      <c r="D535" t="s">
        <v>46</v>
      </c>
      <c r="E535" t="s">
        <v>53</v>
      </c>
      <c r="F535">
        <v>2</v>
      </c>
      <c r="G535">
        <v>33.35</v>
      </c>
      <c r="H535" t="s">
        <v>30</v>
      </c>
      <c r="I535" t="s">
        <v>66</v>
      </c>
      <c r="J535" s="1">
        <v>45094</v>
      </c>
      <c r="K535" s="1">
        <f>DATE(YEAR(subscriptions[[#This Row],[signup_date]]),MONTH(subscriptions[[#This Row],[signup_date]]),1)</f>
        <v>45078</v>
      </c>
      <c r="L535" t="s">
        <v>32</v>
      </c>
      <c r="M535" s="1">
        <v>45134</v>
      </c>
      <c r="N535" s="1">
        <f>IF(subscriptions[[#This Row],[churn_date]]="","",DATE(YEAR(subscriptions[[#This Row],[churn_date]]),MONTH(subscriptions[[#This Row],[churn_date]]),1))</f>
        <v>45108</v>
      </c>
      <c r="O535" t="s">
        <v>67</v>
      </c>
      <c r="P535">
        <v>13</v>
      </c>
      <c r="Q535">
        <v>2</v>
      </c>
      <c r="R535">
        <v>17</v>
      </c>
      <c r="S535" t="str">
        <f t="shared" si="8"/>
        <v>Very Low Usage</v>
      </c>
      <c r="T535" t="s">
        <v>34</v>
      </c>
    </row>
    <row r="536" spans="1:20" x14ac:dyDescent="0.3">
      <c r="A536" t="s">
        <v>600</v>
      </c>
      <c r="B536" t="s">
        <v>82</v>
      </c>
      <c r="C536" t="s">
        <v>36</v>
      </c>
      <c r="D536" t="s">
        <v>41</v>
      </c>
      <c r="E536" t="s">
        <v>56</v>
      </c>
      <c r="F536">
        <v>52</v>
      </c>
      <c r="G536">
        <v>3668.9</v>
      </c>
      <c r="H536" t="s">
        <v>54</v>
      </c>
      <c r="I536" t="s">
        <v>48</v>
      </c>
      <c r="J536" s="1">
        <v>45498</v>
      </c>
      <c r="K536" s="1">
        <f>DATE(YEAR(subscriptions[[#This Row],[signup_date]]),MONTH(subscriptions[[#This Row],[signup_date]]),1)</f>
        <v>45474</v>
      </c>
      <c r="L536" t="s">
        <v>34</v>
      </c>
      <c r="M536" s="1"/>
      <c r="N536" s="1" t="str">
        <f>IF(subscriptions[[#This Row],[churn_date]]="","",DATE(YEAR(subscriptions[[#This Row],[churn_date]]),MONTH(subscriptions[[#This Row],[churn_date]]),1))</f>
        <v/>
      </c>
      <c r="O536" t="s">
        <v>38</v>
      </c>
      <c r="P536">
        <v>9</v>
      </c>
      <c r="Q536">
        <v>7</v>
      </c>
      <c r="R536">
        <v>93</v>
      </c>
      <c r="S536" t="str">
        <f t="shared" si="8"/>
        <v>Very High Usage</v>
      </c>
      <c r="T536" t="s">
        <v>34</v>
      </c>
    </row>
    <row r="537" spans="1:20" x14ac:dyDescent="0.3">
      <c r="A537" t="s">
        <v>601</v>
      </c>
      <c r="B537" t="s">
        <v>40</v>
      </c>
      <c r="C537" t="s">
        <v>36</v>
      </c>
      <c r="D537" t="s">
        <v>46</v>
      </c>
      <c r="E537" t="s">
        <v>29</v>
      </c>
      <c r="F537">
        <v>58</v>
      </c>
      <c r="G537">
        <v>235.41</v>
      </c>
      <c r="H537" t="s">
        <v>109</v>
      </c>
      <c r="I537" t="s">
        <v>66</v>
      </c>
      <c r="J537" s="1">
        <v>44870</v>
      </c>
      <c r="K537" s="1">
        <f>DATE(YEAR(subscriptions[[#This Row],[signup_date]]),MONTH(subscriptions[[#This Row],[signup_date]]),1)</f>
        <v>44866</v>
      </c>
      <c r="L537" t="s">
        <v>32</v>
      </c>
      <c r="M537" s="1">
        <v>44871</v>
      </c>
      <c r="N537" s="1">
        <f>IF(subscriptions[[#This Row],[churn_date]]="","",DATE(YEAR(subscriptions[[#This Row],[churn_date]]),MONTH(subscriptions[[#This Row],[churn_date]]),1))</f>
        <v>44866</v>
      </c>
      <c r="O537" t="s">
        <v>67</v>
      </c>
      <c r="P537">
        <v>4</v>
      </c>
      <c r="Q537">
        <v>5</v>
      </c>
      <c r="R537">
        <v>20</v>
      </c>
      <c r="S537" t="str">
        <f t="shared" si="8"/>
        <v>Very Low Usage</v>
      </c>
      <c r="T537" t="s">
        <v>34</v>
      </c>
    </row>
    <row r="538" spans="1:20" x14ac:dyDescent="0.3">
      <c r="A538" t="s">
        <v>602</v>
      </c>
      <c r="B538" t="s">
        <v>40</v>
      </c>
      <c r="C538" t="s">
        <v>27</v>
      </c>
      <c r="D538" t="s">
        <v>79</v>
      </c>
      <c r="E538" t="s">
        <v>47</v>
      </c>
      <c r="F538">
        <v>26</v>
      </c>
      <c r="G538">
        <v>137.75</v>
      </c>
      <c r="H538" t="s">
        <v>71</v>
      </c>
      <c r="I538" t="s">
        <v>31</v>
      </c>
      <c r="J538" s="1">
        <v>45091</v>
      </c>
      <c r="K538" s="1">
        <f>DATE(YEAR(subscriptions[[#This Row],[signup_date]]),MONTH(subscriptions[[#This Row],[signup_date]]),1)</f>
        <v>45078</v>
      </c>
      <c r="L538" t="s">
        <v>32</v>
      </c>
      <c r="M538" s="1">
        <v>45091</v>
      </c>
      <c r="N538" s="1">
        <f>IF(subscriptions[[#This Row],[churn_date]]="","",DATE(YEAR(subscriptions[[#This Row],[churn_date]]),MONTH(subscriptions[[#This Row],[churn_date]]),1))</f>
        <v>45078</v>
      </c>
      <c r="O538" t="s">
        <v>33</v>
      </c>
      <c r="P538">
        <v>0</v>
      </c>
      <c r="Q538">
        <v>3</v>
      </c>
      <c r="R538">
        <v>23</v>
      </c>
      <c r="S538" t="str">
        <f t="shared" si="8"/>
        <v>Moderate Usage</v>
      </c>
      <c r="T538" t="s">
        <v>34</v>
      </c>
    </row>
    <row r="539" spans="1:20" x14ac:dyDescent="0.3">
      <c r="A539" t="s">
        <v>603</v>
      </c>
      <c r="B539" t="s">
        <v>26</v>
      </c>
      <c r="C539" t="s">
        <v>27</v>
      </c>
      <c r="D539" t="s">
        <v>46</v>
      </c>
      <c r="E539" t="s">
        <v>53</v>
      </c>
      <c r="F539">
        <v>8</v>
      </c>
      <c r="G539">
        <v>161.94999999999999</v>
      </c>
      <c r="H539" t="s">
        <v>71</v>
      </c>
      <c r="I539" t="s">
        <v>48</v>
      </c>
      <c r="J539" s="1">
        <v>45781</v>
      </c>
      <c r="K539" s="1">
        <f>DATE(YEAR(subscriptions[[#This Row],[signup_date]]),MONTH(subscriptions[[#This Row],[signup_date]]),1)</f>
        <v>45778</v>
      </c>
      <c r="L539" t="s">
        <v>32</v>
      </c>
      <c r="M539" s="1">
        <v>45877</v>
      </c>
      <c r="N539" s="1">
        <f>IF(subscriptions[[#This Row],[churn_date]]="","",DATE(YEAR(subscriptions[[#This Row],[churn_date]]),MONTH(subscriptions[[#This Row],[churn_date]]),1))</f>
        <v>45870</v>
      </c>
      <c r="O539" t="s">
        <v>33</v>
      </c>
      <c r="P539">
        <v>5</v>
      </c>
      <c r="Q539">
        <v>2</v>
      </c>
      <c r="R539">
        <v>49</v>
      </c>
      <c r="S539" t="str">
        <f t="shared" si="8"/>
        <v>Moderate Usage</v>
      </c>
      <c r="T539" t="s">
        <v>34</v>
      </c>
    </row>
    <row r="540" spans="1:20" x14ac:dyDescent="0.3">
      <c r="A540" t="s">
        <v>604</v>
      </c>
      <c r="B540" t="s">
        <v>45</v>
      </c>
      <c r="C540" t="s">
        <v>36</v>
      </c>
      <c r="D540" t="s">
        <v>63</v>
      </c>
      <c r="E540" t="s">
        <v>29</v>
      </c>
      <c r="F540">
        <v>20</v>
      </c>
      <c r="G540">
        <v>651.23</v>
      </c>
      <c r="H540" t="s">
        <v>109</v>
      </c>
      <c r="I540" t="s">
        <v>31</v>
      </c>
      <c r="J540" s="1">
        <v>45437</v>
      </c>
      <c r="K540" s="1">
        <f>DATE(YEAR(subscriptions[[#This Row],[signup_date]]),MONTH(subscriptions[[#This Row],[signup_date]]),1)</f>
        <v>45413</v>
      </c>
      <c r="L540" t="s">
        <v>34</v>
      </c>
      <c r="M540" s="1"/>
      <c r="N540" s="1" t="str">
        <f>IF(subscriptions[[#This Row],[churn_date]]="","",DATE(YEAR(subscriptions[[#This Row],[churn_date]]),MONTH(subscriptions[[#This Row],[churn_date]]),1))</f>
        <v/>
      </c>
      <c r="O540" t="s">
        <v>38</v>
      </c>
      <c r="P540">
        <v>8</v>
      </c>
      <c r="Q540">
        <v>9</v>
      </c>
      <c r="R540">
        <v>90</v>
      </c>
      <c r="S540" t="str">
        <f t="shared" si="8"/>
        <v>Very High Usage</v>
      </c>
      <c r="T540" t="s">
        <v>34</v>
      </c>
    </row>
    <row r="541" spans="1:20" x14ac:dyDescent="0.3">
      <c r="A541" t="s">
        <v>605</v>
      </c>
      <c r="B541" t="s">
        <v>40</v>
      </c>
      <c r="C541" t="s">
        <v>27</v>
      </c>
      <c r="D541" t="s">
        <v>90</v>
      </c>
      <c r="E541" t="s">
        <v>29</v>
      </c>
      <c r="F541">
        <v>68</v>
      </c>
      <c r="G541">
        <v>320.45</v>
      </c>
      <c r="H541" t="s">
        <v>71</v>
      </c>
      <c r="I541" t="s">
        <v>31</v>
      </c>
      <c r="J541" s="1">
        <v>45539</v>
      </c>
      <c r="K541" s="1">
        <f>DATE(YEAR(subscriptions[[#This Row],[signup_date]]),MONTH(subscriptions[[#This Row],[signup_date]]),1)</f>
        <v>45536</v>
      </c>
      <c r="L541" t="s">
        <v>32</v>
      </c>
      <c r="M541" s="1">
        <v>45787</v>
      </c>
      <c r="N541" s="1">
        <f>IF(subscriptions[[#This Row],[churn_date]]="","",DATE(YEAR(subscriptions[[#This Row],[churn_date]]),MONTH(subscriptions[[#This Row],[churn_date]]),1))</f>
        <v>45778</v>
      </c>
      <c r="O541" t="s">
        <v>74</v>
      </c>
      <c r="P541">
        <v>9</v>
      </c>
      <c r="Q541">
        <v>4</v>
      </c>
      <c r="R541">
        <v>50</v>
      </c>
      <c r="S541" t="str">
        <f t="shared" si="8"/>
        <v>Moderate Usage</v>
      </c>
      <c r="T541" t="s">
        <v>34</v>
      </c>
    </row>
    <row r="542" spans="1:20" x14ac:dyDescent="0.3">
      <c r="A542" t="s">
        <v>606</v>
      </c>
      <c r="B542" t="s">
        <v>26</v>
      </c>
      <c r="C542" t="s">
        <v>27</v>
      </c>
      <c r="D542" t="s">
        <v>50</v>
      </c>
      <c r="E542" t="s">
        <v>56</v>
      </c>
      <c r="F542">
        <v>30</v>
      </c>
      <c r="G542">
        <v>422.65</v>
      </c>
      <c r="H542" t="s">
        <v>54</v>
      </c>
      <c r="I542" t="s">
        <v>31</v>
      </c>
      <c r="J542" s="1">
        <v>45166</v>
      </c>
      <c r="K542" s="1">
        <f>DATE(YEAR(subscriptions[[#This Row],[signup_date]]),MONTH(subscriptions[[#This Row],[signup_date]]),1)</f>
        <v>45139</v>
      </c>
      <c r="L542" t="s">
        <v>32</v>
      </c>
      <c r="M542" s="1">
        <v>45606</v>
      </c>
      <c r="N542" s="1">
        <f>IF(subscriptions[[#This Row],[churn_date]]="","",DATE(YEAR(subscriptions[[#This Row],[churn_date]]),MONTH(subscriptions[[#This Row],[churn_date]]),1))</f>
        <v>45597</v>
      </c>
      <c r="O542" t="s">
        <v>64</v>
      </c>
      <c r="P542">
        <v>8</v>
      </c>
      <c r="Q542">
        <v>1</v>
      </c>
      <c r="R542">
        <v>50</v>
      </c>
      <c r="S542" t="str">
        <f t="shared" si="8"/>
        <v>Moderate Usage</v>
      </c>
      <c r="T542" t="s">
        <v>34</v>
      </c>
    </row>
    <row r="543" spans="1:20" x14ac:dyDescent="0.3">
      <c r="A543" t="s">
        <v>607</v>
      </c>
      <c r="B543" t="s">
        <v>40</v>
      </c>
      <c r="C543" t="s">
        <v>27</v>
      </c>
      <c r="D543" t="s">
        <v>73</v>
      </c>
      <c r="E543" t="s">
        <v>47</v>
      </c>
      <c r="F543">
        <v>28</v>
      </c>
      <c r="G543">
        <v>146.44999999999999</v>
      </c>
      <c r="H543" t="s">
        <v>37</v>
      </c>
      <c r="I543" t="s">
        <v>31</v>
      </c>
      <c r="J543" s="1">
        <v>45954</v>
      </c>
      <c r="K543" s="1">
        <f>DATE(YEAR(subscriptions[[#This Row],[signup_date]]),MONTH(subscriptions[[#This Row],[signup_date]]),1)</f>
        <v>45931</v>
      </c>
      <c r="L543" t="s">
        <v>34</v>
      </c>
      <c r="M543" s="1"/>
      <c r="N543" s="1" t="str">
        <f>IF(subscriptions[[#This Row],[churn_date]]="","",DATE(YEAR(subscriptions[[#This Row],[churn_date]]),MONTH(subscriptions[[#This Row],[churn_date]]),1))</f>
        <v/>
      </c>
      <c r="O543" t="s">
        <v>38</v>
      </c>
      <c r="P543">
        <v>7</v>
      </c>
      <c r="Q543">
        <v>1</v>
      </c>
      <c r="R543">
        <v>91</v>
      </c>
      <c r="S543" t="str">
        <f t="shared" si="8"/>
        <v>Very High Usage</v>
      </c>
      <c r="T543" t="s">
        <v>34</v>
      </c>
    </row>
    <row r="544" spans="1:20" x14ac:dyDescent="0.3">
      <c r="A544" t="s">
        <v>608</v>
      </c>
      <c r="B544" t="s">
        <v>82</v>
      </c>
      <c r="C544" t="s">
        <v>36</v>
      </c>
      <c r="D544" t="s">
        <v>46</v>
      </c>
      <c r="E544" t="s">
        <v>53</v>
      </c>
      <c r="F544">
        <v>1</v>
      </c>
      <c r="G544">
        <v>424.15</v>
      </c>
      <c r="H544" t="s">
        <v>43</v>
      </c>
      <c r="I544" t="s">
        <v>31</v>
      </c>
      <c r="J544" s="1">
        <v>44870</v>
      </c>
      <c r="K544" s="1">
        <f>DATE(YEAR(subscriptions[[#This Row],[signup_date]]),MONTH(subscriptions[[#This Row],[signup_date]]),1)</f>
        <v>44866</v>
      </c>
      <c r="L544" t="s">
        <v>32</v>
      </c>
      <c r="M544" s="1">
        <v>45787</v>
      </c>
      <c r="N544" s="1">
        <f>IF(subscriptions[[#This Row],[churn_date]]="","",DATE(YEAR(subscriptions[[#This Row],[churn_date]]),MONTH(subscriptions[[#This Row],[churn_date]]),1))</f>
        <v>45778</v>
      </c>
      <c r="O544" t="s">
        <v>74</v>
      </c>
      <c r="P544">
        <v>9</v>
      </c>
      <c r="Q544">
        <v>3</v>
      </c>
      <c r="R544">
        <v>24</v>
      </c>
      <c r="S544" t="str">
        <f t="shared" si="8"/>
        <v>Moderate Usage</v>
      </c>
      <c r="T544" t="s">
        <v>34</v>
      </c>
    </row>
    <row r="545" spans="1:20" x14ac:dyDescent="0.3">
      <c r="A545" t="s">
        <v>609</v>
      </c>
      <c r="B545" t="s">
        <v>45</v>
      </c>
      <c r="C545" t="s">
        <v>36</v>
      </c>
      <c r="D545" t="s">
        <v>46</v>
      </c>
      <c r="E545" t="s">
        <v>47</v>
      </c>
      <c r="F545">
        <v>16</v>
      </c>
      <c r="G545">
        <v>549.74</v>
      </c>
      <c r="H545" t="s">
        <v>54</v>
      </c>
      <c r="I545" t="s">
        <v>48</v>
      </c>
      <c r="J545" s="1">
        <v>45290</v>
      </c>
      <c r="K545" s="1">
        <f>DATE(YEAR(subscriptions[[#This Row],[signup_date]]),MONTH(subscriptions[[#This Row],[signup_date]]),1)</f>
        <v>45261</v>
      </c>
      <c r="L545" t="s">
        <v>34</v>
      </c>
      <c r="M545" s="1"/>
      <c r="N545" s="1" t="str">
        <f>IF(subscriptions[[#This Row],[churn_date]]="","",DATE(YEAR(subscriptions[[#This Row],[churn_date]]),MONTH(subscriptions[[#This Row],[churn_date]]),1))</f>
        <v/>
      </c>
      <c r="O545" t="s">
        <v>38</v>
      </c>
      <c r="P545">
        <v>4</v>
      </c>
      <c r="Q545">
        <v>3</v>
      </c>
      <c r="R545">
        <v>25</v>
      </c>
      <c r="S545" t="str">
        <f t="shared" si="8"/>
        <v>Moderate Usage</v>
      </c>
      <c r="T545" t="s">
        <v>34</v>
      </c>
    </row>
    <row r="546" spans="1:20" x14ac:dyDescent="0.3">
      <c r="A546" t="s">
        <v>610</v>
      </c>
      <c r="B546" t="s">
        <v>40</v>
      </c>
      <c r="C546" t="s">
        <v>27</v>
      </c>
      <c r="D546" t="s">
        <v>52</v>
      </c>
      <c r="E546" t="s">
        <v>53</v>
      </c>
      <c r="F546">
        <v>1</v>
      </c>
      <c r="G546">
        <v>29</v>
      </c>
      <c r="H546" t="s">
        <v>54</v>
      </c>
      <c r="I546" t="s">
        <v>48</v>
      </c>
      <c r="J546" s="1">
        <v>44685</v>
      </c>
      <c r="K546" s="1">
        <f>DATE(YEAR(subscriptions[[#This Row],[signup_date]]),MONTH(subscriptions[[#This Row],[signup_date]]),1)</f>
        <v>44682</v>
      </c>
      <c r="L546" t="s">
        <v>32</v>
      </c>
      <c r="M546" s="1">
        <v>44909</v>
      </c>
      <c r="N546" s="1">
        <f>IF(subscriptions[[#This Row],[churn_date]]="","",DATE(YEAR(subscriptions[[#This Row],[churn_date]]),MONTH(subscriptions[[#This Row],[churn_date]]),1))</f>
        <v>44896</v>
      </c>
      <c r="O546" t="s">
        <v>33</v>
      </c>
      <c r="P546">
        <v>14</v>
      </c>
      <c r="Q546">
        <v>2</v>
      </c>
      <c r="R546">
        <v>10</v>
      </c>
      <c r="S546" t="str">
        <f t="shared" si="8"/>
        <v>Very Low Usage</v>
      </c>
      <c r="T546" t="s">
        <v>34</v>
      </c>
    </row>
    <row r="547" spans="1:20" x14ac:dyDescent="0.3">
      <c r="A547" t="s">
        <v>611</v>
      </c>
      <c r="B547" t="s">
        <v>26</v>
      </c>
      <c r="C547" t="s">
        <v>27</v>
      </c>
      <c r="D547" t="s">
        <v>52</v>
      </c>
      <c r="E547" t="s">
        <v>47</v>
      </c>
      <c r="F547">
        <v>11</v>
      </c>
      <c r="G547">
        <v>197.5</v>
      </c>
      <c r="H547" t="s">
        <v>37</v>
      </c>
      <c r="I547" t="s">
        <v>66</v>
      </c>
      <c r="J547" s="1">
        <v>45181</v>
      </c>
      <c r="K547" s="1">
        <f>DATE(YEAR(subscriptions[[#This Row],[signup_date]]),MONTH(subscriptions[[#This Row],[signup_date]]),1)</f>
        <v>45170</v>
      </c>
      <c r="L547" t="s">
        <v>32</v>
      </c>
      <c r="M547" s="1">
        <v>45407</v>
      </c>
      <c r="N547" s="1">
        <f>IF(subscriptions[[#This Row],[churn_date]]="","",DATE(YEAR(subscriptions[[#This Row],[churn_date]]),MONTH(subscriptions[[#This Row],[churn_date]]),1))</f>
        <v>45383</v>
      </c>
      <c r="O547" t="s">
        <v>67</v>
      </c>
      <c r="P547">
        <v>12</v>
      </c>
      <c r="Q547">
        <v>2</v>
      </c>
      <c r="R547">
        <v>10</v>
      </c>
      <c r="S547" t="str">
        <f t="shared" si="8"/>
        <v>Very Low Usage</v>
      </c>
      <c r="T547" t="s">
        <v>34</v>
      </c>
    </row>
    <row r="548" spans="1:20" x14ac:dyDescent="0.3">
      <c r="A548" t="s">
        <v>612</v>
      </c>
      <c r="B548" t="s">
        <v>82</v>
      </c>
      <c r="C548" t="s">
        <v>27</v>
      </c>
      <c r="D548" t="s">
        <v>28</v>
      </c>
      <c r="E548" t="s">
        <v>53</v>
      </c>
      <c r="F548">
        <v>2</v>
      </c>
      <c r="G548">
        <v>573.85</v>
      </c>
      <c r="H548" t="s">
        <v>30</v>
      </c>
      <c r="I548" t="s">
        <v>31</v>
      </c>
      <c r="J548" s="1">
        <v>44936</v>
      </c>
      <c r="K548" s="1">
        <f>DATE(YEAR(subscriptions[[#This Row],[signup_date]]),MONTH(subscriptions[[#This Row],[signup_date]]),1)</f>
        <v>44927</v>
      </c>
      <c r="L548" t="s">
        <v>32</v>
      </c>
      <c r="M548" s="1">
        <v>45706</v>
      </c>
      <c r="N548" s="1">
        <f>IF(subscriptions[[#This Row],[churn_date]]="","",DATE(YEAR(subscriptions[[#This Row],[churn_date]]),MONTH(subscriptions[[#This Row],[churn_date]]),1))</f>
        <v>45689</v>
      </c>
      <c r="O548" t="s">
        <v>57</v>
      </c>
      <c r="P548">
        <v>10</v>
      </c>
      <c r="Q548">
        <v>3</v>
      </c>
      <c r="R548">
        <v>22</v>
      </c>
      <c r="S548" t="str">
        <f t="shared" si="8"/>
        <v>Moderate Usage</v>
      </c>
      <c r="T548" t="s">
        <v>34</v>
      </c>
    </row>
    <row r="549" spans="1:20" x14ac:dyDescent="0.3">
      <c r="A549" t="s">
        <v>613</v>
      </c>
      <c r="B549" t="s">
        <v>45</v>
      </c>
      <c r="C549" t="s">
        <v>27</v>
      </c>
      <c r="D549" t="s">
        <v>60</v>
      </c>
      <c r="E549" t="s">
        <v>47</v>
      </c>
      <c r="F549">
        <v>31</v>
      </c>
      <c r="G549">
        <v>1094.5</v>
      </c>
      <c r="H549" t="s">
        <v>71</v>
      </c>
      <c r="I549" t="s">
        <v>66</v>
      </c>
      <c r="J549" s="1">
        <v>44889</v>
      </c>
      <c r="K549" s="1">
        <f>DATE(YEAR(subscriptions[[#This Row],[signup_date]]),MONTH(subscriptions[[#This Row],[signup_date]]),1)</f>
        <v>44866</v>
      </c>
      <c r="L549" t="s">
        <v>34</v>
      </c>
      <c r="M549" s="1"/>
      <c r="N549" s="1" t="str">
        <f>IF(subscriptions[[#This Row],[churn_date]]="","",DATE(YEAR(subscriptions[[#This Row],[churn_date]]),MONTH(subscriptions[[#This Row],[churn_date]]),1))</f>
        <v/>
      </c>
      <c r="O549" t="s">
        <v>38</v>
      </c>
      <c r="P549">
        <v>1</v>
      </c>
      <c r="Q549">
        <v>6</v>
      </c>
      <c r="R549">
        <v>49</v>
      </c>
      <c r="S549" t="str">
        <f t="shared" si="8"/>
        <v>Moderate Usage</v>
      </c>
      <c r="T549" t="s">
        <v>34</v>
      </c>
    </row>
    <row r="550" spans="1:20" x14ac:dyDescent="0.3">
      <c r="A550" t="s">
        <v>614</v>
      </c>
      <c r="B550" t="s">
        <v>40</v>
      </c>
      <c r="C550" t="s">
        <v>36</v>
      </c>
      <c r="D550" t="s">
        <v>79</v>
      </c>
      <c r="E550" t="s">
        <v>47</v>
      </c>
      <c r="F550">
        <v>30</v>
      </c>
      <c r="G550">
        <v>131.88</v>
      </c>
      <c r="H550" t="s">
        <v>43</v>
      </c>
      <c r="I550" t="s">
        <v>31</v>
      </c>
      <c r="J550" s="1">
        <v>44640</v>
      </c>
      <c r="K550" s="1">
        <f>DATE(YEAR(subscriptions[[#This Row],[signup_date]]),MONTH(subscriptions[[#This Row],[signup_date]]),1)</f>
        <v>44621</v>
      </c>
      <c r="L550" t="s">
        <v>32</v>
      </c>
      <c r="M550" s="1">
        <v>44656</v>
      </c>
      <c r="N550" s="1">
        <f>IF(subscriptions[[#This Row],[churn_date]]="","",DATE(YEAR(subscriptions[[#This Row],[churn_date]]),MONTH(subscriptions[[#This Row],[churn_date]]),1))</f>
        <v>44652</v>
      </c>
      <c r="O550" t="s">
        <v>67</v>
      </c>
      <c r="P550">
        <v>7</v>
      </c>
      <c r="Q550">
        <v>1</v>
      </c>
      <c r="R550">
        <v>28</v>
      </c>
      <c r="S550" t="str">
        <f t="shared" si="8"/>
        <v>Moderate Usage</v>
      </c>
      <c r="T550" t="s">
        <v>34</v>
      </c>
    </row>
    <row r="551" spans="1:20" x14ac:dyDescent="0.3">
      <c r="A551" t="s">
        <v>615</v>
      </c>
      <c r="B551" t="s">
        <v>40</v>
      </c>
      <c r="C551" t="s">
        <v>27</v>
      </c>
      <c r="D551" t="s">
        <v>52</v>
      </c>
      <c r="E551" t="s">
        <v>47</v>
      </c>
      <c r="F551">
        <v>31</v>
      </c>
      <c r="G551">
        <v>159.5</v>
      </c>
      <c r="H551" t="s">
        <v>30</v>
      </c>
      <c r="I551" t="s">
        <v>66</v>
      </c>
      <c r="J551" s="1">
        <v>45407</v>
      </c>
      <c r="K551" s="1">
        <f>DATE(YEAR(subscriptions[[#This Row],[signup_date]]),MONTH(subscriptions[[#This Row],[signup_date]]),1)</f>
        <v>45383</v>
      </c>
      <c r="L551" t="s">
        <v>32</v>
      </c>
      <c r="M551" s="1">
        <v>45537</v>
      </c>
      <c r="N551" s="1">
        <f>IF(subscriptions[[#This Row],[churn_date]]="","",DATE(YEAR(subscriptions[[#This Row],[churn_date]]),MONTH(subscriptions[[#This Row],[churn_date]]),1))</f>
        <v>45536</v>
      </c>
      <c r="O551" t="s">
        <v>74</v>
      </c>
      <c r="P551">
        <v>1</v>
      </c>
      <c r="Q551">
        <v>6</v>
      </c>
      <c r="R551">
        <v>33</v>
      </c>
      <c r="S551" t="str">
        <f t="shared" si="8"/>
        <v>Moderate Usage</v>
      </c>
      <c r="T551" t="s">
        <v>34</v>
      </c>
    </row>
    <row r="552" spans="1:20" x14ac:dyDescent="0.3">
      <c r="A552" t="s">
        <v>616</v>
      </c>
      <c r="B552" t="s">
        <v>26</v>
      </c>
      <c r="C552" t="s">
        <v>36</v>
      </c>
      <c r="D552" t="s">
        <v>90</v>
      </c>
      <c r="E552" t="s">
        <v>42</v>
      </c>
      <c r="F552">
        <v>187</v>
      </c>
      <c r="G552">
        <v>1940.63</v>
      </c>
      <c r="H552" t="s">
        <v>71</v>
      </c>
      <c r="I552" t="s">
        <v>31</v>
      </c>
      <c r="J552" s="1">
        <v>45938</v>
      </c>
      <c r="K552" s="1">
        <f>DATE(YEAR(subscriptions[[#This Row],[signup_date]]),MONTH(subscriptions[[#This Row],[signup_date]]),1)</f>
        <v>45931</v>
      </c>
      <c r="L552" t="s">
        <v>34</v>
      </c>
      <c r="M552" s="1"/>
      <c r="N552" s="1" t="str">
        <f>IF(subscriptions[[#This Row],[churn_date]]="","",DATE(YEAR(subscriptions[[#This Row],[churn_date]]),MONTH(subscriptions[[#This Row],[churn_date]]),1))</f>
        <v/>
      </c>
      <c r="O552" t="s">
        <v>38</v>
      </c>
      <c r="P552">
        <v>1</v>
      </c>
      <c r="Q552">
        <v>3</v>
      </c>
      <c r="R552">
        <v>53</v>
      </c>
      <c r="S552" t="str">
        <f t="shared" si="8"/>
        <v>High Usage</v>
      </c>
      <c r="T552" t="s">
        <v>34</v>
      </c>
    </row>
    <row r="553" spans="1:20" x14ac:dyDescent="0.3">
      <c r="A553" t="s">
        <v>617</v>
      </c>
      <c r="B553" t="s">
        <v>40</v>
      </c>
      <c r="C553" t="s">
        <v>27</v>
      </c>
      <c r="D553" t="s">
        <v>73</v>
      </c>
      <c r="E553" t="s">
        <v>47</v>
      </c>
      <c r="F553">
        <v>9</v>
      </c>
      <c r="G553">
        <v>63.8</v>
      </c>
      <c r="H553" t="s">
        <v>37</v>
      </c>
      <c r="I553" t="s">
        <v>31</v>
      </c>
      <c r="J553" s="1">
        <v>45726</v>
      </c>
      <c r="K553" s="1">
        <f>DATE(YEAR(subscriptions[[#This Row],[signup_date]]),MONTH(subscriptions[[#This Row],[signup_date]]),1)</f>
        <v>45717</v>
      </c>
      <c r="L553" t="s">
        <v>34</v>
      </c>
      <c r="M553" s="1"/>
      <c r="N553" s="1" t="str">
        <f>IF(subscriptions[[#This Row],[churn_date]]="","",DATE(YEAR(subscriptions[[#This Row],[churn_date]]),MONTH(subscriptions[[#This Row],[churn_date]]),1))</f>
        <v/>
      </c>
      <c r="O553" t="s">
        <v>38</v>
      </c>
      <c r="P553">
        <v>9</v>
      </c>
      <c r="Q553">
        <v>3</v>
      </c>
      <c r="R553">
        <v>22</v>
      </c>
      <c r="S553" t="str">
        <f t="shared" si="8"/>
        <v>Moderate Usage</v>
      </c>
      <c r="T553" t="s">
        <v>34</v>
      </c>
    </row>
    <row r="554" spans="1:20" x14ac:dyDescent="0.3">
      <c r="A554" t="s">
        <v>618</v>
      </c>
      <c r="B554" t="s">
        <v>40</v>
      </c>
      <c r="C554" t="s">
        <v>36</v>
      </c>
      <c r="D554" t="s">
        <v>52</v>
      </c>
      <c r="E554" t="s">
        <v>56</v>
      </c>
      <c r="F554">
        <v>135</v>
      </c>
      <c r="G554">
        <v>520.12</v>
      </c>
      <c r="H554" t="s">
        <v>109</v>
      </c>
      <c r="I554" t="s">
        <v>66</v>
      </c>
      <c r="J554" s="1">
        <v>45566</v>
      </c>
      <c r="K554" s="1">
        <f>DATE(YEAR(subscriptions[[#This Row],[signup_date]]),MONTH(subscriptions[[#This Row],[signup_date]]),1)</f>
        <v>45566</v>
      </c>
      <c r="L554" t="s">
        <v>34</v>
      </c>
      <c r="M554" s="1"/>
      <c r="N554" s="1" t="str">
        <f>IF(subscriptions[[#This Row],[churn_date]]="","",DATE(YEAR(subscriptions[[#This Row],[churn_date]]),MONTH(subscriptions[[#This Row],[churn_date]]),1))</f>
        <v/>
      </c>
      <c r="O554" t="s">
        <v>38</v>
      </c>
      <c r="P554">
        <v>10</v>
      </c>
      <c r="Q554">
        <v>4</v>
      </c>
      <c r="R554">
        <v>86</v>
      </c>
      <c r="S554" t="str">
        <f t="shared" si="8"/>
        <v>Very High Usage</v>
      </c>
      <c r="T554" t="s">
        <v>34</v>
      </c>
    </row>
    <row r="555" spans="1:20" x14ac:dyDescent="0.3">
      <c r="A555" t="s">
        <v>619</v>
      </c>
      <c r="B555" t="s">
        <v>40</v>
      </c>
      <c r="C555" t="s">
        <v>36</v>
      </c>
      <c r="D555" t="s">
        <v>50</v>
      </c>
      <c r="E555" t="s">
        <v>29</v>
      </c>
      <c r="F555">
        <v>39</v>
      </c>
      <c r="G555">
        <v>165.16</v>
      </c>
      <c r="H555" t="s">
        <v>71</v>
      </c>
      <c r="I555" t="s">
        <v>31</v>
      </c>
      <c r="J555" s="1">
        <v>44609</v>
      </c>
      <c r="K555" s="1">
        <f>DATE(YEAR(subscriptions[[#This Row],[signup_date]]),MONTH(subscriptions[[#This Row],[signup_date]]),1)</f>
        <v>44593</v>
      </c>
      <c r="L555" t="s">
        <v>32</v>
      </c>
      <c r="M555" s="1">
        <v>44814</v>
      </c>
      <c r="N555" s="1">
        <f>IF(subscriptions[[#This Row],[churn_date]]="","",DATE(YEAR(subscriptions[[#This Row],[churn_date]]),MONTH(subscriptions[[#This Row],[churn_date]]),1))</f>
        <v>44805</v>
      </c>
      <c r="O555" t="s">
        <v>67</v>
      </c>
      <c r="P555">
        <v>8</v>
      </c>
      <c r="Q555">
        <v>6</v>
      </c>
      <c r="R555">
        <v>18</v>
      </c>
      <c r="S555" t="str">
        <f t="shared" si="8"/>
        <v>Very Low Usage</v>
      </c>
      <c r="T555" t="s">
        <v>34</v>
      </c>
    </row>
    <row r="556" spans="1:20" x14ac:dyDescent="0.3">
      <c r="A556" t="s">
        <v>620</v>
      </c>
      <c r="B556" t="s">
        <v>45</v>
      </c>
      <c r="C556" t="s">
        <v>36</v>
      </c>
      <c r="D556" t="s">
        <v>28</v>
      </c>
      <c r="E556" t="s">
        <v>47</v>
      </c>
      <c r="F556">
        <v>29</v>
      </c>
      <c r="G556">
        <v>879.58</v>
      </c>
      <c r="H556" t="s">
        <v>54</v>
      </c>
      <c r="I556" t="s">
        <v>31</v>
      </c>
      <c r="J556" s="1">
        <v>44770</v>
      </c>
      <c r="K556" s="1">
        <f>DATE(YEAR(subscriptions[[#This Row],[signup_date]]),MONTH(subscriptions[[#This Row],[signup_date]]),1)</f>
        <v>44743</v>
      </c>
      <c r="L556" t="s">
        <v>34</v>
      </c>
      <c r="M556" s="1"/>
      <c r="N556" s="1" t="str">
        <f>IF(subscriptions[[#This Row],[churn_date]]="","",DATE(YEAR(subscriptions[[#This Row],[churn_date]]),MONTH(subscriptions[[#This Row],[churn_date]]),1))</f>
        <v/>
      </c>
      <c r="O556" t="s">
        <v>38</v>
      </c>
      <c r="P556">
        <v>2</v>
      </c>
      <c r="Q556">
        <v>5</v>
      </c>
      <c r="R556">
        <v>71</v>
      </c>
      <c r="S556" t="str">
        <f t="shared" si="8"/>
        <v>High Usage</v>
      </c>
      <c r="T556" t="s">
        <v>34</v>
      </c>
    </row>
    <row r="557" spans="1:20" x14ac:dyDescent="0.3">
      <c r="A557" t="s">
        <v>621</v>
      </c>
      <c r="B557" t="s">
        <v>45</v>
      </c>
      <c r="C557" t="s">
        <v>27</v>
      </c>
      <c r="D557" t="s">
        <v>90</v>
      </c>
      <c r="E557" t="s">
        <v>42</v>
      </c>
      <c r="F557">
        <v>182</v>
      </c>
      <c r="G557">
        <v>5601.85</v>
      </c>
      <c r="H557" t="s">
        <v>71</v>
      </c>
      <c r="I557" t="s">
        <v>80</v>
      </c>
      <c r="J557" s="1">
        <v>45863</v>
      </c>
      <c r="K557" s="1">
        <f>DATE(YEAR(subscriptions[[#This Row],[signup_date]]),MONTH(subscriptions[[#This Row],[signup_date]]),1)</f>
        <v>45839</v>
      </c>
      <c r="L557" t="s">
        <v>32</v>
      </c>
      <c r="M557" s="1">
        <v>45866</v>
      </c>
      <c r="N557" s="1">
        <f>IF(subscriptions[[#This Row],[churn_date]]="","",DATE(YEAR(subscriptions[[#This Row],[churn_date]]),MONTH(subscriptions[[#This Row],[churn_date]]),1))</f>
        <v>45839</v>
      </c>
      <c r="O557" t="s">
        <v>67</v>
      </c>
      <c r="P557">
        <v>4</v>
      </c>
      <c r="Q557">
        <v>1</v>
      </c>
      <c r="R557">
        <v>21</v>
      </c>
      <c r="S557" t="str">
        <f t="shared" si="8"/>
        <v>Moderate Usage</v>
      </c>
      <c r="T557" t="s">
        <v>34</v>
      </c>
    </row>
    <row r="558" spans="1:20" x14ac:dyDescent="0.3">
      <c r="A558" t="s">
        <v>622</v>
      </c>
      <c r="B558" t="s">
        <v>40</v>
      </c>
      <c r="C558" t="s">
        <v>27</v>
      </c>
      <c r="D558" t="s">
        <v>41</v>
      </c>
      <c r="E558" t="s">
        <v>56</v>
      </c>
      <c r="F558">
        <v>82</v>
      </c>
      <c r="G558">
        <v>381.35</v>
      </c>
      <c r="H558" t="s">
        <v>54</v>
      </c>
      <c r="I558" t="s">
        <v>31</v>
      </c>
      <c r="J558" s="1">
        <v>45941</v>
      </c>
      <c r="K558" s="1">
        <f>DATE(YEAR(subscriptions[[#This Row],[signup_date]]),MONTH(subscriptions[[#This Row],[signup_date]]),1)</f>
        <v>45931</v>
      </c>
      <c r="L558" t="s">
        <v>34</v>
      </c>
      <c r="M558" s="1"/>
      <c r="N558" s="1" t="str">
        <f>IF(subscriptions[[#This Row],[churn_date]]="","",DATE(YEAR(subscriptions[[#This Row],[churn_date]]),MONTH(subscriptions[[#This Row],[churn_date]]),1))</f>
        <v/>
      </c>
      <c r="O558" t="s">
        <v>38</v>
      </c>
      <c r="P558">
        <v>1</v>
      </c>
      <c r="Q558">
        <v>6</v>
      </c>
      <c r="R558">
        <v>33</v>
      </c>
      <c r="S558" t="str">
        <f t="shared" si="8"/>
        <v>Moderate Usage</v>
      </c>
      <c r="T558" t="s">
        <v>34</v>
      </c>
    </row>
    <row r="559" spans="1:20" x14ac:dyDescent="0.3">
      <c r="A559" t="s">
        <v>623</v>
      </c>
      <c r="B559" t="s">
        <v>45</v>
      </c>
      <c r="C559" t="s">
        <v>27</v>
      </c>
      <c r="D559" t="s">
        <v>73</v>
      </c>
      <c r="E559" t="s">
        <v>56</v>
      </c>
      <c r="F559">
        <v>74</v>
      </c>
      <c r="G559">
        <v>2378.0500000000002</v>
      </c>
      <c r="H559" t="s">
        <v>30</v>
      </c>
      <c r="I559" t="s">
        <v>48</v>
      </c>
      <c r="J559" s="1">
        <v>45772</v>
      </c>
      <c r="K559" s="1">
        <f>DATE(YEAR(subscriptions[[#This Row],[signup_date]]),MONTH(subscriptions[[#This Row],[signup_date]]),1)</f>
        <v>45748</v>
      </c>
      <c r="L559" t="s">
        <v>34</v>
      </c>
      <c r="M559" s="1"/>
      <c r="N559" s="1" t="str">
        <f>IF(subscriptions[[#This Row],[churn_date]]="","",DATE(YEAR(subscriptions[[#This Row],[churn_date]]),MONTH(subscriptions[[#This Row],[churn_date]]),1))</f>
        <v/>
      </c>
      <c r="O559" t="s">
        <v>38</v>
      </c>
      <c r="P559">
        <v>0</v>
      </c>
      <c r="Q559">
        <v>9</v>
      </c>
      <c r="R559">
        <v>71</v>
      </c>
      <c r="S559" t="str">
        <f t="shared" si="8"/>
        <v>High Usage</v>
      </c>
      <c r="T559" t="s">
        <v>32</v>
      </c>
    </row>
    <row r="560" spans="1:20" x14ac:dyDescent="0.3">
      <c r="A560" t="s">
        <v>624</v>
      </c>
      <c r="B560" t="s">
        <v>26</v>
      </c>
      <c r="C560" t="s">
        <v>36</v>
      </c>
      <c r="D560" t="s">
        <v>63</v>
      </c>
      <c r="E560" t="s">
        <v>47</v>
      </c>
      <c r="F560">
        <v>30</v>
      </c>
      <c r="G560">
        <v>359.25</v>
      </c>
      <c r="H560" t="s">
        <v>43</v>
      </c>
      <c r="I560" t="s">
        <v>31</v>
      </c>
      <c r="J560" s="1">
        <v>44892</v>
      </c>
      <c r="K560" s="1">
        <f>DATE(YEAR(subscriptions[[#This Row],[signup_date]]),MONTH(subscriptions[[#This Row],[signup_date]]),1)</f>
        <v>44866</v>
      </c>
      <c r="L560" t="s">
        <v>32</v>
      </c>
      <c r="M560" s="1">
        <v>45180</v>
      </c>
      <c r="N560" s="1">
        <f>IF(subscriptions[[#This Row],[churn_date]]="","",DATE(YEAR(subscriptions[[#This Row],[churn_date]]),MONTH(subscriptions[[#This Row],[churn_date]]),1))</f>
        <v>45170</v>
      </c>
      <c r="O560" t="s">
        <v>64</v>
      </c>
      <c r="P560">
        <v>11</v>
      </c>
      <c r="Q560">
        <v>1</v>
      </c>
      <c r="R560">
        <v>26</v>
      </c>
      <c r="S560" t="str">
        <f t="shared" si="8"/>
        <v>Moderate Usage</v>
      </c>
      <c r="T560" t="s">
        <v>34</v>
      </c>
    </row>
    <row r="561" spans="1:20" x14ac:dyDescent="0.3">
      <c r="A561" t="s">
        <v>625</v>
      </c>
      <c r="B561" t="s">
        <v>40</v>
      </c>
      <c r="C561" t="s">
        <v>27</v>
      </c>
      <c r="D561" t="s">
        <v>79</v>
      </c>
      <c r="E561" t="s">
        <v>47</v>
      </c>
      <c r="F561">
        <v>6</v>
      </c>
      <c r="G561">
        <v>50.75</v>
      </c>
      <c r="H561" t="s">
        <v>30</v>
      </c>
      <c r="I561" t="s">
        <v>66</v>
      </c>
      <c r="J561" s="1">
        <v>45516</v>
      </c>
      <c r="K561" s="1">
        <f>DATE(YEAR(subscriptions[[#This Row],[signup_date]]),MONTH(subscriptions[[#This Row],[signup_date]]),1)</f>
        <v>45505</v>
      </c>
      <c r="L561" t="s">
        <v>32</v>
      </c>
      <c r="M561" s="1">
        <v>45832</v>
      </c>
      <c r="N561" s="1">
        <f>IF(subscriptions[[#This Row],[churn_date]]="","",DATE(YEAR(subscriptions[[#This Row],[churn_date]]),MONTH(subscriptions[[#This Row],[churn_date]]),1))</f>
        <v>45809</v>
      </c>
      <c r="O561" t="s">
        <v>33</v>
      </c>
      <c r="P561">
        <v>9</v>
      </c>
      <c r="Q561">
        <v>1</v>
      </c>
      <c r="R561">
        <v>45</v>
      </c>
      <c r="S561" t="str">
        <f t="shared" si="8"/>
        <v>Moderate Usage</v>
      </c>
      <c r="T561" t="s">
        <v>34</v>
      </c>
    </row>
    <row r="562" spans="1:20" x14ac:dyDescent="0.3">
      <c r="A562" t="s">
        <v>626</v>
      </c>
      <c r="B562" t="s">
        <v>82</v>
      </c>
      <c r="C562" t="s">
        <v>27</v>
      </c>
      <c r="D562" t="s">
        <v>79</v>
      </c>
      <c r="E562" t="s">
        <v>47</v>
      </c>
      <c r="F562">
        <v>17</v>
      </c>
      <c r="G562">
        <v>1696.6</v>
      </c>
      <c r="H562" t="s">
        <v>30</v>
      </c>
      <c r="I562" t="s">
        <v>66</v>
      </c>
      <c r="J562" s="1">
        <v>45128</v>
      </c>
      <c r="K562" s="1">
        <f>DATE(YEAR(subscriptions[[#This Row],[signup_date]]),MONTH(subscriptions[[#This Row],[signup_date]]),1)</f>
        <v>45108</v>
      </c>
      <c r="L562" t="s">
        <v>34</v>
      </c>
      <c r="M562" s="1"/>
      <c r="N562" s="1" t="str">
        <f>IF(subscriptions[[#This Row],[churn_date]]="","",DATE(YEAR(subscriptions[[#This Row],[churn_date]]),MONTH(subscriptions[[#This Row],[churn_date]]),1))</f>
        <v/>
      </c>
      <c r="O562" t="s">
        <v>38</v>
      </c>
      <c r="P562">
        <v>9</v>
      </c>
      <c r="Q562">
        <v>3</v>
      </c>
      <c r="R562">
        <v>41</v>
      </c>
      <c r="S562" t="str">
        <f t="shared" si="8"/>
        <v>Moderate Usage</v>
      </c>
      <c r="T562" t="s">
        <v>34</v>
      </c>
    </row>
    <row r="563" spans="1:20" x14ac:dyDescent="0.3">
      <c r="A563" t="s">
        <v>627</v>
      </c>
      <c r="B563" t="s">
        <v>45</v>
      </c>
      <c r="C563" t="s">
        <v>27</v>
      </c>
      <c r="D563" t="s">
        <v>63</v>
      </c>
      <c r="E563" t="s">
        <v>29</v>
      </c>
      <c r="F563">
        <v>30</v>
      </c>
      <c r="G563">
        <v>1064.6500000000001</v>
      </c>
      <c r="H563" t="s">
        <v>54</v>
      </c>
      <c r="I563" t="s">
        <v>31</v>
      </c>
      <c r="J563" s="1">
        <v>45942</v>
      </c>
      <c r="K563" s="1">
        <f>DATE(YEAR(subscriptions[[#This Row],[signup_date]]),MONTH(subscriptions[[#This Row],[signup_date]]),1)</f>
        <v>45931</v>
      </c>
      <c r="L563" t="s">
        <v>34</v>
      </c>
      <c r="M563" s="1"/>
      <c r="N563" s="1" t="str">
        <f>IF(subscriptions[[#This Row],[churn_date]]="","",DATE(YEAR(subscriptions[[#This Row],[churn_date]]),MONTH(subscriptions[[#This Row],[churn_date]]),1))</f>
        <v/>
      </c>
      <c r="O563" t="s">
        <v>38</v>
      </c>
      <c r="P563">
        <v>6</v>
      </c>
      <c r="Q563">
        <v>10</v>
      </c>
      <c r="R563">
        <v>17</v>
      </c>
      <c r="S563" t="str">
        <f t="shared" si="8"/>
        <v>Very Low Usage</v>
      </c>
      <c r="T563" t="s">
        <v>34</v>
      </c>
    </row>
    <row r="564" spans="1:20" x14ac:dyDescent="0.3">
      <c r="A564" t="s">
        <v>628</v>
      </c>
      <c r="B564" t="s">
        <v>40</v>
      </c>
      <c r="C564" t="s">
        <v>27</v>
      </c>
      <c r="D564" t="s">
        <v>52</v>
      </c>
      <c r="E564" t="s">
        <v>53</v>
      </c>
      <c r="F564">
        <v>8</v>
      </c>
      <c r="G564">
        <v>59.45</v>
      </c>
      <c r="H564" t="s">
        <v>30</v>
      </c>
      <c r="I564" t="s">
        <v>66</v>
      </c>
      <c r="J564" s="1">
        <v>45605</v>
      </c>
      <c r="K564" s="1">
        <f>DATE(YEAR(subscriptions[[#This Row],[signup_date]]),MONTH(subscriptions[[#This Row],[signup_date]]),1)</f>
        <v>45597</v>
      </c>
      <c r="L564" t="s">
        <v>32</v>
      </c>
      <c r="M564" s="1">
        <v>45791</v>
      </c>
      <c r="N564" s="1">
        <f>IF(subscriptions[[#This Row],[churn_date]]="","",DATE(YEAR(subscriptions[[#This Row],[churn_date]]),MONTH(subscriptions[[#This Row],[churn_date]]),1))</f>
        <v>45778</v>
      </c>
      <c r="O564" t="s">
        <v>61</v>
      </c>
      <c r="P564">
        <v>3</v>
      </c>
      <c r="Q564">
        <v>5</v>
      </c>
      <c r="R564">
        <v>27</v>
      </c>
      <c r="S564" t="str">
        <f t="shared" si="8"/>
        <v>Moderate Usage</v>
      </c>
      <c r="T564" t="s">
        <v>34</v>
      </c>
    </row>
    <row r="565" spans="1:20" x14ac:dyDescent="0.3">
      <c r="A565" t="s">
        <v>629</v>
      </c>
      <c r="B565" t="s">
        <v>26</v>
      </c>
      <c r="C565" t="s">
        <v>27</v>
      </c>
      <c r="D565" t="s">
        <v>52</v>
      </c>
      <c r="E565" t="s">
        <v>53</v>
      </c>
      <c r="F565">
        <v>8</v>
      </c>
      <c r="G565">
        <v>161.94999999999999</v>
      </c>
      <c r="H565" t="s">
        <v>71</v>
      </c>
      <c r="I565" t="s">
        <v>48</v>
      </c>
      <c r="J565" s="1">
        <v>45733</v>
      </c>
      <c r="K565" s="1">
        <f>DATE(YEAR(subscriptions[[#This Row],[signup_date]]),MONTH(subscriptions[[#This Row],[signup_date]]),1)</f>
        <v>45717</v>
      </c>
      <c r="L565" t="s">
        <v>34</v>
      </c>
      <c r="M565" s="1"/>
      <c r="N565" s="1" t="str">
        <f>IF(subscriptions[[#This Row],[churn_date]]="","",DATE(YEAR(subscriptions[[#This Row],[churn_date]]),MONTH(subscriptions[[#This Row],[churn_date]]),1))</f>
        <v/>
      </c>
      <c r="O565" t="s">
        <v>38</v>
      </c>
      <c r="P565">
        <v>10</v>
      </c>
      <c r="Q565">
        <v>10</v>
      </c>
      <c r="R565">
        <v>78</v>
      </c>
      <c r="S565" t="str">
        <f t="shared" si="8"/>
        <v>High Usage</v>
      </c>
      <c r="T565" t="s">
        <v>34</v>
      </c>
    </row>
    <row r="566" spans="1:20" x14ac:dyDescent="0.3">
      <c r="A566" t="s">
        <v>630</v>
      </c>
      <c r="B566" t="s">
        <v>45</v>
      </c>
      <c r="C566" t="s">
        <v>27</v>
      </c>
      <c r="D566" t="s">
        <v>50</v>
      </c>
      <c r="E566" t="s">
        <v>53</v>
      </c>
      <c r="F566">
        <v>6</v>
      </c>
      <c r="G566">
        <v>348.25</v>
      </c>
      <c r="H566" t="s">
        <v>54</v>
      </c>
      <c r="I566" t="s">
        <v>66</v>
      </c>
      <c r="J566" s="1">
        <v>45226</v>
      </c>
      <c r="K566" s="1">
        <f>DATE(YEAR(subscriptions[[#This Row],[signup_date]]),MONTH(subscriptions[[#This Row],[signup_date]]),1)</f>
        <v>45200</v>
      </c>
      <c r="L566" t="s">
        <v>32</v>
      </c>
      <c r="M566" s="1">
        <v>45963</v>
      </c>
      <c r="N566" s="1">
        <f>IF(subscriptions[[#This Row],[churn_date]]="","",DATE(YEAR(subscriptions[[#This Row],[churn_date]]),MONTH(subscriptions[[#This Row],[churn_date]]),1))</f>
        <v>45962</v>
      </c>
      <c r="O566" t="s">
        <v>33</v>
      </c>
      <c r="P566">
        <v>10</v>
      </c>
      <c r="Q566">
        <v>1</v>
      </c>
      <c r="R566">
        <v>19</v>
      </c>
      <c r="S566" t="str">
        <f t="shared" si="8"/>
        <v>Very Low Usage</v>
      </c>
      <c r="T566" t="s">
        <v>34</v>
      </c>
    </row>
    <row r="567" spans="1:20" x14ac:dyDescent="0.3">
      <c r="A567" t="s">
        <v>631</v>
      </c>
      <c r="B567" t="s">
        <v>26</v>
      </c>
      <c r="C567" t="s">
        <v>27</v>
      </c>
      <c r="D567" t="s">
        <v>46</v>
      </c>
      <c r="E567" t="s">
        <v>53</v>
      </c>
      <c r="F567">
        <v>8</v>
      </c>
      <c r="G567">
        <v>161.94999999999999</v>
      </c>
      <c r="H567" t="s">
        <v>30</v>
      </c>
      <c r="I567" t="s">
        <v>48</v>
      </c>
      <c r="J567" s="1">
        <v>44797</v>
      </c>
      <c r="K567" s="1">
        <f>DATE(YEAR(subscriptions[[#This Row],[signup_date]]),MONTH(subscriptions[[#This Row],[signup_date]]),1)</f>
        <v>44774</v>
      </c>
      <c r="L567" t="s">
        <v>32</v>
      </c>
      <c r="M567" s="1">
        <v>44827</v>
      </c>
      <c r="N567" s="1">
        <f>IF(subscriptions[[#This Row],[churn_date]]="","",DATE(YEAR(subscriptions[[#This Row],[churn_date]]),MONTH(subscriptions[[#This Row],[churn_date]]),1))</f>
        <v>44805</v>
      </c>
      <c r="O567" t="s">
        <v>64</v>
      </c>
      <c r="P567">
        <v>1</v>
      </c>
      <c r="Q567">
        <v>3</v>
      </c>
      <c r="R567">
        <v>15</v>
      </c>
      <c r="S567" t="str">
        <f t="shared" si="8"/>
        <v>Very Low Usage</v>
      </c>
      <c r="T567" t="s">
        <v>34</v>
      </c>
    </row>
    <row r="568" spans="1:20" x14ac:dyDescent="0.3">
      <c r="A568" t="s">
        <v>632</v>
      </c>
      <c r="B568" t="s">
        <v>40</v>
      </c>
      <c r="C568" t="s">
        <v>36</v>
      </c>
      <c r="D568" t="s">
        <v>50</v>
      </c>
      <c r="E568" t="s">
        <v>47</v>
      </c>
      <c r="F568">
        <v>27</v>
      </c>
      <c r="G568">
        <v>120.78</v>
      </c>
      <c r="H568" t="s">
        <v>37</v>
      </c>
      <c r="I568" t="s">
        <v>48</v>
      </c>
      <c r="J568" s="1">
        <v>45465</v>
      </c>
      <c r="K568" s="1">
        <f>DATE(YEAR(subscriptions[[#This Row],[signup_date]]),MONTH(subscriptions[[#This Row],[signup_date]]),1)</f>
        <v>45444</v>
      </c>
      <c r="L568" t="s">
        <v>32</v>
      </c>
      <c r="M568" s="1">
        <v>45522</v>
      </c>
      <c r="N568" s="1">
        <f>IF(subscriptions[[#This Row],[churn_date]]="","",DATE(YEAR(subscriptions[[#This Row],[churn_date]]),MONTH(subscriptions[[#This Row],[churn_date]]),1))</f>
        <v>45505</v>
      </c>
      <c r="O568" t="s">
        <v>64</v>
      </c>
      <c r="P568">
        <v>10</v>
      </c>
      <c r="Q568">
        <v>4</v>
      </c>
      <c r="R568">
        <v>11</v>
      </c>
      <c r="S568" t="str">
        <f t="shared" si="8"/>
        <v>Very Low Usage</v>
      </c>
      <c r="T568" t="s">
        <v>34</v>
      </c>
    </row>
    <row r="569" spans="1:20" x14ac:dyDescent="0.3">
      <c r="A569" t="s">
        <v>633</v>
      </c>
      <c r="B569" t="s">
        <v>40</v>
      </c>
      <c r="C569" t="s">
        <v>36</v>
      </c>
      <c r="D569" t="s">
        <v>73</v>
      </c>
      <c r="E569" t="s">
        <v>29</v>
      </c>
      <c r="F569">
        <v>50</v>
      </c>
      <c r="G569">
        <v>205.83</v>
      </c>
      <c r="H569" t="s">
        <v>54</v>
      </c>
      <c r="I569" t="s">
        <v>31</v>
      </c>
      <c r="J569" s="1">
        <v>45802</v>
      </c>
      <c r="K569" s="1">
        <f>DATE(YEAR(subscriptions[[#This Row],[signup_date]]),MONTH(subscriptions[[#This Row],[signup_date]]),1)</f>
        <v>45778</v>
      </c>
      <c r="L569" t="s">
        <v>34</v>
      </c>
      <c r="M569" s="1"/>
      <c r="N569" s="1" t="str">
        <f>IF(subscriptions[[#This Row],[churn_date]]="","",DATE(YEAR(subscriptions[[#This Row],[churn_date]]),MONTH(subscriptions[[#This Row],[churn_date]]),1))</f>
        <v/>
      </c>
      <c r="O569" t="s">
        <v>38</v>
      </c>
      <c r="P569">
        <v>5</v>
      </c>
      <c r="Q569">
        <v>8</v>
      </c>
      <c r="R569">
        <v>66</v>
      </c>
      <c r="S569" t="str">
        <f t="shared" si="8"/>
        <v>High Usage</v>
      </c>
      <c r="T569" t="s">
        <v>34</v>
      </c>
    </row>
    <row r="570" spans="1:20" x14ac:dyDescent="0.3">
      <c r="A570" t="s">
        <v>634</v>
      </c>
      <c r="B570" t="s">
        <v>26</v>
      </c>
      <c r="C570" t="s">
        <v>27</v>
      </c>
      <c r="D570" t="s">
        <v>63</v>
      </c>
      <c r="E570" t="s">
        <v>47</v>
      </c>
      <c r="F570">
        <v>13</v>
      </c>
      <c r="G570">
        <v>221.2</v>
      </c>
      <c r="H570" t="s">
        <v>30</v>
      </c>
      <c r="I570" t="s">
        <v>48</v>
      </c>
      <c r="J570" s="1">
        <v>45808</v>
      </c>
      <c r="K570" s="1">
        <f>DATE(YEAR(subscriptions[[#This Row],[signup_date]]),MONTH(subscriptions[[#This Row],[signup_date]]),1)</f>
        <v>45778</v>
      </c>
      <c r="L570" t="s">
        <v>34</v>
      </c>
      <c r="M570" s="1"/>
      <c r="N570" s="1" t="str">
        <f>IF(subscriptions[[#This Row],[churn_date]]="","",DATE(YEAR(subscriptions[[#This Row],[churn_date]]),MONTH(subscriptions[[#This Row],[churn_date]]),1))</f>
        <v/>
      </c>
      <c r="O570" t="s">
        <v>38</v>
      </c>
      <c r="P570">
        <v>5</v>
      </c>
      <c r="Q570">
        <v>5</v>
      </c>
      <c r="R570">
        <v>53</v>
      </c>
      <c r="S570" t="str">
        <f t="shared" si="8"/>
        <v>High Usage</v>
      </c>
      <c r="T570" t="s">
        <v>34</v>
      </c>
    </row>
    <row r="571" spans="1:20" x14ac:dyDescent="0.3">
      <c r="A571" t="s">
        <v>635</v>
      </c>
      <c r="B571" t="s">
        <v>45</v>
      </c>
      <c r="C571" t="s">
        <v>36</v>
      </c>
      <c r="D571" t="s">
        <v>52</v>
      </c>
      <c r="E571" t="s">
        <v>47</v>
      </c>
      <c r="F571">
        <v>23</v>
      </c>
      <c r="G571">
        <v>727.34</v>
      </c>
      <c r="H571" t="s">
        <v>30</v>
      </c>
      <c r="I571" t="s">
        <v>31</v>
      </c>
      <c r="J571" s="1">
        <v>45419</v>
      </c>
      <c r="K571" s="1">
        <f>DATE(YEAR(subscriptions[[#This Row],[signup_date]]),MONTH(subscriptions[[#This Row],[signup_date]]),1)</f>
        <v>45413</v>
      </c>
      <c r="L571" t="s">
        <v>34</v>
      </c>
      <c r="M571" s="1"/>
      <c r="N571" s="1" t="str">
        <f>IF(subscriptions[[#This Row],[churn_date]]="","",DATE(YEAR(subscriptions[[#This Row],[churn_date]]),MONTH(subscriptions[[#This Row],[churn_date]]),1))</f>
        <v/>
      </c>
      <c r="O571" t="s">
        <v>38</v>
      </c>
      <c r="P571">
        <v>2</v>
      </c>
      <c r="Q571">
        <v>5</v>
      </c>
      <c r="R571">
        <v>19</v>
      </c>
      <c r="S571" t="str">
        <f t="shared" si="8"/>
        <v>Very Low Usage</v>
      </c>
      <c r="T571" t="s">
        <v>34</v>
      </c>
    </row>
    <row r="572" spans="1:20" x14ac:dyDescent="0.3">
      <c r="A572" t="s">
        <v>636</v>
      </c>
      <c r="B572" t="s">
        <v>40</v>
      </c>
      <c r="C572" t="s">
        <v>27</v>
      </c>
      <c r="D572" t="s">
        <v>79</v>
      </c>
      <c r="E572" t="s">
        <v>53</v>
      </c>
      <c r="F572">
        <v>2</v>
      </c>
      <c r="G572">
        <v>33.35</v>
      </c>
      <c r="H572" t="s">
        <v>54</v>
      </c>
      <c r="I572" t="s">
        <v>31</v>
      </c>
      <c r="J572" s="1">
        <v>44598</v>
      </c>
      <c r="K572" s="1">
        <f>DATE(YEAR(subscriptions[[#This Row],[signup_date]]),MONTH(subscriptions[[#This Row],[signup_date]]),1)</f>
        <v>44593</v>
      </c>
      <c r="L572" t="s">
        <v>32</v>
      </c>
      <c r="M572" s="1">
        <v>44606</v>
      </c>
      <c r="N572" s="1">
        <f>IF(subscriptions[[#This Row],[churn_date]]="","",DATE(YEAR(subscriptions[[#This Row],[churn_date]]),MONTH(subscriptions[[#This Row],[churn_date]]),1))</f>
        <v>44593</v>
      </c>
      <c r="O572" t="s">
        <v>61</v>
      </c>
      <c r="P572">
        <v>15</v>
      </c>
      <c r="Q572">
        <v>1</v>
      </c>
      <c r="R572">
        <v>15</v>
      </c>
      <c r="S572" t="str">
        <f t="shared" si="8"/>
        <v>Very Low Usage</v>
      </c>
      <c r="T572" t="s">
        <v>34</v>
      </c>
    </row>
    <row r="573" spans="1:20" x14ac:dyDescent="0.3">
      <c r="A573" t="s">
        <v>637</v>
      </c>
      <c r="B573" t="s">
        <v>40</v>
      </c>
      <c r="C573" t="s">
        <v>27</v>
      </c>
      <c r="D573" t="s">
        <v>50</v>
      </c>
      <c r="E573" t="s">
        <v>53</v>
      </c>
      <c r="F573">
        <v>3</v>
      </c>
      <c r="G573">
        <v>37.700000000000003</v>
      </c>
      <c r="H573" t="s">
        <v>109</v>
      </c>
      <c r="I573" t="s">
        <v>66</v>
      </c>
      <c r="J573" s="1">
        <v>44873</v>
      </c>
      <c r="K573" s="1">
        <f>DATE(YEAR(subscriptions[[#This Row],[signup_date]]),MONTH(subscriptions[[#This Row],[signup_date]]),1)</f>
        <v>44866</v>
      </c>
      <c r="L573" t="s">
        <v>32</v>
      </c>
      <c r="M573" s="1">
        <v>45154</v>
      </c>
      <c r="N573" s="1">
        <f>IF(subscriptions[[#This Row],[churn_date]]="","",DATE(YEAR(subscriptions[[#This Row],[churn_date]]),MONTH(subscriptions[[#This Row],[churn_date]]),1))</f>
        <v>45139</v>
      </c>
      <c r="O573" t="s">
        <v>61</v>
      </c>
      <c r="P573">
        <v>6</v>
      </c>
      <c r="Q573">
        <v>5</v>
      </c>
      <c r="R573">
        <v>33</v>
      </c>
      <c r="S573" t="str">
        <f t="shared" si="8"/>
        <v>Moderate Usage</v>
      </c>
      <c r="T573" t="s">
        <v>34</v>
      </c>
    </row>
    <row r="574" spans="1:20" x14ac:dyDescent="0.3">
      <c r="A574" t="s">
        <v>638</v>
      </c>
      <c r="B574" t="s">
        <v>26</v>
      </c>
      <c r="C574" t="s">
        <v>36</v>
      </c>
      <c r="D574" t="s">
        <v>90</v>
      </c>
      <c r="E574" t="s">
        <v>29</v>
      </c>
      <c r="F574">
        <v>34</v>
      </c>
      <c r="G574">
        <v>399.54</v>
      </c>
      <c r="H574" t="s">
        <v>43</v>
      </c>
      <c r="I574" t="s">
        <v>66</v>
      </c>
      <c r="J574" s="1">
        <v>44789</v>
      </c>
      <c r="K574" s="1">
        <f>DATE(YEAR(subscriptions[[#This Row],[signup_date]]),MONTH(subscriptions[[#This Row],[signup_date]]),1)</f>
        <v>44774</v>
      </c>
      <c r="L574" t="s">
        <v>34</v>
      </c>
      <c r="M574" s="1"/>
      <c r="N574" s="1" t="str">
        <f>IF(subscriptions[[#This Row],[churn_date]]="","",DATE(YEAR(subscriptions[[#This Row],[churn_date]]),MONTH(subscriptions[[#This Row],[churn_date]]),1))</f>
        <v/>
      </c>
      <c r="O574" t="s">
        <v>38</v>
      </c>
      <c r="P574">
        <v>6</v>
      </c>
      <c r="Q574">
        <v>5</v>
      </c>
      <c r="R574">
        <v>39</v>
      </c>
      <c r="S574" t="str">
        <f t="shared" si="8"/>
        <v>Moderate Usage</v>
      </c>
      <c r="T574" t="s">
        <v>34</v>
      </c>
    </row>
    <row r="575" spans="1:20" x14ac:dyDescent="0.3">
      <c r="A575" t="s">
        <v>639</v>
      </c>
      <c r="B575" t="s">
        <v>82</v>
      </c>
      <c r="C575" t="s">
        <v>27</v>
      </c>
      <c r="D575" t="s">
        <v>73</v>
      </c>
      <c r="E575" t="s">
        <v>29</v>
      </c>
      <c r="F575">
        <v>78</v>
      </c>
      <c r="G575">
        <v>6262.45</v>
      </c>
      <c r="H575" t="s">
        <v>71</v>
      </c>
      <c r="I575" t="s">
        <v>31</v>
      </c>
      <c r="J575" s="1">
        <v>45204</v>
      </c>
      <c r="K575" s="1">
        <f>DATE(YEAR(subscriptions[[#This Row],[signup_date]]),MONTH(subscriptions[[#This Row],[signup_date]]),1)</f>
        <v>45200</v>
      </c>
      <c r="L575" t="s">
        <v>34</v>
      </c>
      <c r="M575" s="1"/>
      <c r="N575" s="1" t="str">
        <f>IF(subscriptions[[#This Row],[churn_date]]="","",DATE(YEAR(subscriptions[[#This Row],[churn_date]]),MONTH(subscriptions[[#This Row],[churn_date]]),1))</f>
        <v/>
      </c>
      <c r="O575" t="s">
        <v>38</v>
      </c>
      <c r="P575">
        <v>1</v>
      </c>
      <c r="Q575">
        <v>9</v>
      </c>
      <c r="R575">
        <v>50</v>
      </c>
      <c r="S575" t="str">
        <f t="shared" si="8"/>
        <v>Moderate Usage</v>
      </c>
      <c r="T575" t="s">
        <v>32</v>
      </c>
    </row>
    <row r="576" spans="1:20" x14ac:dyDescent="0.3">
      <c r="A576" t="s">
        <v>640</v>
      </c>
      <c r="B576" t="s">
        <v>45</v>
      </c>
      <c r="C576" t="s">
        <v>36</v>
      </c>
      <c r="D576" t="s">
        <v>90</v>
      </c>
      <c r="E576" t="s">
        <v>29</v>
      </c>
      <c r="F576">
        <v>38</v>
      </c>
      <c r="G576">
        <v>1107.93</v>
      </c>
      <c r="H576" t="s">
        <v>54</v>
      </c>
      <c r="I576" t="s">
        <v>31</v>
      </c>
      <c r="J576" s="1">
        <v>45970</v>
      </c>
      <c r="K576" s="1">
        <f>DATE(YEAR(subscriptions[[#This Row],[signup_date]]),MONTH(subscriptions[[#This Row],[signup_date]]),1)</f>
        <v>45962</v>
      </c>
      <c r="L576" t="s">
        <v>34</v>
      </c>
      <c r="M576" s="1"/>
      <c r="N576" s="1" t="str">
        <f>IF(subscriptions[[#This Row],[churn_date]]="","",DATE(YEAR(subscriptions[[#This Row],[churn_date]]),MONTH(subscriptions[[#This Row],[churn_date]]),1))</f>
        <v/>
      </c>
      <c r="O576" t="s">
        <v>38</v>
      </c>
      <c r="P576">
        <v>11</v>
      </c>
      <c r="Q576">
        <v>8</v>
      </c>
      <c r="R576">
        <v>26</v>
      </c>
      <c r="S576" t="str">
        <f t="shared" si="8"/>
        <v>Moderate Usage</v>
      </c>
      <c r="T576" t="s">
        <v>34</v>
      </c>
    </row>
    <row r="577" spans="1:20" x14ac:dyDescent="0.3">
      <c r="A577" t="s">
        <v>641</v>
      </c>
      <c r="B577" t="s">
        <v>40</v>
      </c>
      <c r="C577" t="s">
        <v>36</v>
      </c>
      <c r="D577" t="s">
        <v>50</v>
      </c>
      <c r="E577" t="s">
        <v>53</v>
      </c>
      <c r="F577">
        <v>4</v>
      </c>
      <c r="G577">
        <v>35.74</v>
      </c>
      <c r="H577" t="s">
        <v>43</v>
      </c>
      <c r="I577" t="s">
        <v>31</v>
      </c>
      <c r="J577" s="1">
        <v>45438</v>
      </c>
      <c r="K577" s="1">
        <f>DATE(YEAR(subscriptions[[#This Row],[signup_date]]),MONTH(subscriptions[[#This Row],[signup_date]]),1)</f>
        <v>45413</v>
      </c>
      <c r="L577" t="s">
        <v>32</v>
      </c>
      <c r="M577" s="1">
        <v>45457</v>
      </c>
      <c r="N577" s="1">
        <f>IF(subscriptions[[#This Row],[churn_date]]="","",DATE(YEAR(subscriptions[[#This Row],[churn_date]]),MONTH(subscriptions[[#This Row],[churn_date]]),1))</f>
        <v>45444</v>
      </c>
      <c r="O577" t="s">
        <v>33</v>
      </c>
      <c r="P577">
        <v>1</v>
      </c>
      <c r="Q577">
        <v>5</v>
      </c>
      <c r="R577">
        <v>35</v>
      </c>
      <c r="S577" t="str">
        <f t="shared" si="8"/>
        <v>Moderate Usage</v>
      </c>
      <c r="T577" t="s">
        <v>34</v>
      </c>
    </row>
    <row r="578" spans="1:20" x14ac:dyDescent="0.3">
      <c r="A578" t="s">
        <v>642</v>
      </c>
      <c r="B578" t="s">
        <v>40</v>
      </c>
      <c r="C578" t="s">
        <v>36</v>
      </c>
      <c r="D578" t="s">
        <v>41</v>
      </c>
      <c r="E578" t="s">
        <v>56</v>
      </c>
      <c r="F578">
        <v>123</v>
      </c>
      <c r="G578">
        <v>475.74</v>
      </c>
      <c r="H578" t="s">
        <v>71</v>
      </c>
      <c r="I578" t="s">
        <v>31</v>
      </c>
      <c r="J578" s="1">
        <v>44791</v>
      </c>
      <c r="K578" s="1">
        <f>DATE(YEAR(subscriptions[[#This Row],[signup_date]]),MONTH(subscriptions[[#This Row],[signup_date]]),1)</f>
        <v>44774</v>
      </c>
      <c r="L578" t="s">
        <v>32</v>
      </c>
      <c r="M578" s="1">
        <v>45168</v>
      </c>
      <c r="N578" s="1">
        <f>IF(subscriptions[[#This Row],[churn_date]]="","",DATE(YEAR(subscriptions[[#This Row],[churn_date]]),MONTH(subscriptions[[#This Row],[churn_date]]),1))</f>
        <v>45139</v>
      </c>
      <c r="O578" t="s">
        <v>33</v>
      </c>
      <c r="P578">
        <v>5</v>
      </c>
      <c r="Q578">
        <v>3</v>
      </c>
      <c r="R578">
        <v>22</v>
      </c>
      <c r="S578" t="str">
        <f t="shared" ref="S578:S601" si="9">IF(R578&lt;=20,"Very Low Usage",
IF(R578&lt;=50,"Moderate Usage",
IF(R578&lt;=80,"High Usage",
"Very High Usage")))</f>
        <v>Moderate Usage</v>
      </c>
      <c r="T578" t="s">
        <v>34</v>
      </c>
    </row>
    <row r="579" spans="1:20" x14ac:dyDescent="0.3">
      <c r="A579" t="s">
        <v>643</v>
      </c>
      <c r="B579" t="s">
        <v>26</v>
      </c>
      <c r="C579" t="s">
        <v>27</v>
      </c>
      <c r="D579" t="s">
        <v>73</v>
      </c>
      <c r="E579" t="s">
        <v>42</v>
      </c>
      <c r="F579">
        <v>74</v>
      </c>
      <c r="G579">
        <v>944.05</v>
      </c>
      <c r="H579" t="s">
        <v>30</v>
      </c>
      <c r="I579" t="s">
        <v>31</v>
      </c>
      <c r="J579" s="1">
        <v>45359</v>
      </c>
      <c r="K579" s="1">
        <f>DATE(YEAR(subscriptions[[#This Row],[signup_date]]),MONTH(subscriptions[[#This Row],[signup_date]]),1)</f>
        <v>45352</v>
      </c>
      <c r="L579" t="s">
        <v>32</v>
      </c>
      <c r="M579" s="1">
        <v>45956</v>
      </c>
      <c r="N579" s="1">
        <f>IF(subscriptions[[#This Row],[churn_date]]="","",DATE(YEAR(subscriptions[[#This Row],[churn_date]]),MONTH(subscriptions[[#This Row],[churn_date]]),1))</f>
        <v>45931</v>
      </c>
      <c r="O579" t="s">
        <v>93</v>
      </c>
      <c r="P579">
        <v>9</v>
      </c>
      <c r="Q579">
        <v>3</v>
      </c>
      <c r="R579">
        <v>38</v>
      </c>
      <c r="S579" t="str">
        <f t="shared" si="9"/>
        <v>Moderate Usage</v>
      </c>
      <c r="T579" t="s">
        <v>34</v>
      </c>
    </row>
    <row r="580" spans="1:20" x14ac:dyDescent="0.3">
      <c r="A580" t="s">
        <v>644</v>
      </c>
      <c r="B580" t="s">
        <v>26</v>
      </c>
      <c r="C580" t="s">
        <v>27</v>
      </c>
      <c r="D580" t="s">
        <v>41</v>
      </c>
      <c r="E580" t="s">
        <v>47</v>
      </c>
      <c r="F580">
        <v>9</v>
      </c>
      <c r="G580">
        <v>173.8</v>
      </c>
      <c r="H580" t="s">
        <v>37</v>
      </c>
      <c r="I580" t="s">
        <v>31</v>
      </c>
      <c r="J580" s="1">
        <v>45922</v>
      </c>
      <c r="K580" s="1">
        <f>DATE(YEAR(subscriptions[[#This Row],[signup_date]]),MONTH(subscriptions[[#This Row],[signup_date]]),1)</f>
        <v>45901</v>
      </c>
      <c r="L580" t="s">
        <v>34</v>
      </c>
      <c r="M580" s="1"/>
      <c r="N580" s="1" t="str">
        <f>IF(subscriptions[[#This Row],[churn_date]]="","",DATE(YEAR(subscriptions[[#This Row],[churn_date]]),MONTH(subscriptions[[#This Row],[churn_date]]),1))</f>
        <v/>
      </c>
      <c r="O580" t="s">
        <v>38</v>
      </c>
      <c r="P580">
        <v>8</v>
      </c>
      <c r="Q580">
        <v>8</v>
      </c>
      <c r="R580">
        <v>74</v>
      </c>
      <c r="S580" t="str">
        <f t="shared" si="9"/>
        <v>High Usage</v>
      </c>
      <c r="T580" t="s">
        <v>34</v>
      </c>
    </row>
    <row r="581" spans="1:20" x14ac:dyDescent="0.3">
      <c r="A581" t="s">
        <v>645</v>
      </c>
      <c r="B581" t="s">
        <v>26</v>
      </c>
      <c r="C581" t="s">
        <v>27</v>
      </c>
      <c r="D581" t="s">
        <v>73</v>
      </c>
      <c r="E581" t="s">
        <v>56</v>
      </c>
      <c r="F581">
        <v>33</v>
      </c>
      <c r="G581">
        <v>458.2</v>
      </c>
      <c r="H581" t="s">
        <v>54</v>
      </c>
      <c r="I581" t="s">
        <v>31</v>
      </c>
      <c r="J581" s="1">
        <v>45371</v>
      </c>
      <c r="K581" s="1">
        <f>DATE(YEAR(subscriptions[[#This Row],[signup_date]]),MONTH(subscriptions[[#This Row],[signup_date]]),1)</f>
        <v>45352</v>
      </c>
      <c r="L581" t="s">
        <v>32</v>
      </c>
      <c r="M581" s="1">
        <v>45565</v>
      </c>
      <c r="N581" s="1">
        <f>IF(subscriptions[[#This Row],[churn_date]]="","",DATE(YEAR(subscriptions[[#This Row],[churn_date]]),MONTH(subscriptions[[#This Row],[churn_date]]),1))</f>
        <v>45536</v>
      </c>
      <c r="O581" t="s">
        <v>33</v>
      </c>
      <c r="P581">
        <v>13</v>
      </c>
      <c r="Q581">
        <v>2</v>
      </c>
      <c r="R581">
        <v>39</v>
      </c>
      <c r="S581" t="str">
        <f t="shared" si="9"/>
        <v>Moderate Usage</v>
      </c>
      <c r="T581" t="s">
        <v>34</v>
      </c>
    </row>
    <row r="582" spans="1:20" x14ac:dyDescent="0.3">
      <c r="A582" t="s">
        <v>646</v>
      </c>
      <c r="B582" t="s">
        <v>45</v>
      </c>
      <c r="C582" t="s">
        <v>27</v>
      </c>
      <c r="D582" t="s">
        <v>52</v>
      </c>
      <c r="E582" t="s">
        <v>56</v>
      </c>
      <c r="F582">
        <v>105</v>
      </c>
      <c r="G582">
        <v>3303.4</v>
      </c>
      <c r="H582" t="s">
        <v>37</v>
      </c>
      <c r="I582" t="s">
        <v>66</v>
      </c>
      <c r="J582" s="1">
        <v>45606</v>
      </c>
      <c r="K582" s="1">
        <f>DATE(YEAR(subscriptions[[#This Row],[signup_date]]),MONTH(subscriptions[[#This Row],[signup_date]]),1)</f>
        <v>45597</v>
      </c>
      <c r="L582" t="s">
        <v>34</v>
      </c>
      <c r="M582" s="1"/>
      <c r="N582" s="1" t="str">
        <f>IF(subscriptions[[#This Row],[churn_date]]="","",DATE(YEAR(subscriptions[[#This Row],[churn_date]]),MONTH(subscriptions[[#This Row],[churn_date]]),1))</f>
        <v/>
      </c>
      <c r="O582" t="s">
        <v>38</v>
      </c>
      <c r="P582">
        <v>0</v>
      </c>
      <c r="Q582">
        <v>8</v>
      </c>
      <c r="R582">
        <v>75</v>
      </c>
      <c r="S582" t="str">
        <f t="shared" si="9"/>
        <v>High Usage</v>
      </c>
      <c r="T582" t="s">
        <v>32</v>
      </c>
    </row>
    <row r="583" spans="1:20" x14ac:dyDescent="0.3">
      <c r="A583" t="s">
        <v>647</v>
      </c>
      <c r="B583" t="s">
        <v>26</v>
      </c>
      <c r="C583" t="s">
        <v>27</v>
      </c>
      <c r="D583" t="s">
        <v>90</v>
      </c>
      <c r="E583" t="s">
        <v>47</v>
      </c>
      <c r="F583">
        <v>35</v>
      </c>
      <c r="G583">
        <v>481.9</v>
      </c>
      <c r="H583" t="s">
        <v>43</v>
      </c>
      <c r="I583" t="s">
        <v>31</v>
      </c>
      <c r="J583" s="1">
        <v>45249</v>
      </c>
      <c r="K583" s="1">
        <f>DATE(YEAR(subscriptions[[#This Row],[signup_date]]),MONTH(subscriptions[[#This Row],[signup_date]]),1)</f>
        <v>45231</v>
      </c>
      <c r="L583" t="s">
        <v>32</v>
      </c>
      <c r="M583" s="1">
        <v>45854</v>
      </c>
      <c r="N583" s="1">
        <f>IF(subscriptions[[#This Row],[churn_date]]="","",DATE(YEAR(subscriptions[[#This Row],[churn_date]]),MONTH(subscriptions[[#This Row],[churn_date]]),1))</f>
        <v>45839</v>
      </c>
      <c r="O583" t="s">
        <v>57</v>
      </c>
      <c r="P583">
        <v>0</v>
      </c>
      <c r="Q583">
        <v>2</v>
      </c>
      <c r="R583">
        <v>32</v>
      </c>
      <c r="S583" t="str">
        <f t="shared" si="9"/>
        <v>Moderate Usage</v>
      </c>
      <c r="T583" t="s">
        <v>34</v>
      </c>
    </row>
    <row r="584" spans="1:20" x14ac:dyDescent="0.3">
      <c r="A584" t="s">
        <v>648</v>
      </c>
      <c r="B584" t="s">
        <v>26</v>
      </c>
      <c r="C584" t="s">
        <v>27</v>
      </c>
      <c r="D584" t="s">
        <v>41</v>
      </c>
      <c r="E584" t="s">
        <v>53</v>
      </c>
      <c r="F584">
        <v>4</v>
      </c>
      <c r="G584">
        <v>114.55</v>
      </c>
      <c r="H584" t="s">
        <v>109</v>
      </c>
      <c r="I584" t="s">
        <v>31</v>
      </c>
      <c r="J584" s="1">
        <v>45825</v>
      </c>
      <c r="K584" s="1">
        <f>DATE(YEAR(subscriptions[[#This Row],[signup_date]]),MONTH(subscriptions[[#This Row],[signup_date]]),1)</f>
        <v>45809</v>
      </c>
      <c r="L584" t="s">
        <v>32</v>
      </c>
      <c r="M584" s="1">
        <v>45827</v>
      </c>
      <c r="N584" s="1">
        <f>IF(subscriptions[[#This Row],[churn_date]]="","",DATE(YEAR(subscriptions[[#This Row],[churn_date]]),MONTH(subscriptions[[#This Row],[churn_date]]),1))</f>
        <v>45809</v>
      </c>
      <c r="O584" t="s">
        <v>33</v>
      </c>
      <c r="P584">
        <v>3</v>
      </c>
      <c r="Q584">
        <v>5</v>
      </c>
      <c r="R584">
        <v>50</v>
      </c>
      <c r="S584" t="str">
        <f t="shared" si="9"/>
        <v>Moderate Usage</v>
      </c>
      <c r="T584" t="s">
        <v>34</v>
      </c>
    </row>
    <row r="585" spans="1:20" x14ac:dyDescent="0.3">
      <c r="A585" t="s">
        <v>649</v>
      </c>
      <c r="B585" t="s">
        <v>45</v>
      </c>
      <c r="C585" t="s">
        <v>27</v>
      </c>
      <c r="D585" t="s">
        <v>60</v>
      </c>
      <c r="E585" t="s">
        <v>47</v>
      </c>
      <c r="F585">
        <v>18</v>
      </c>
      <c r="G585">
        <v>706.45</v>
      </c>
      <c r="H585" t="s">
        <v>30</v>
      </c>
      <c r="I585" t="s">
        <v>31</v>
      </c>
      <c r="J585" s="1">
        <v>45956</v>
      </c>
      <c r="K585" s="1">
        <f>DATE(YEAR(subscriptions[[#This Row],[signup_date]]),MONTH(subscriptions[[#This Row],[signup_date]]),1)</f>
        <v>45931</v>
      </c>
      <c r="L585" t="s">
        <v>34</v>
      </c>
      <c r="M585" s="1"/>
      <c r="N585" s="1" t="str">
        <f>IF(subscriptions[[#This Row],[churn_date]]="","",DATE(YEAR(subscriptions[[#This Row],[churn_date]]),MONTH(subscriptions[[#This Row],[churn_date]]),1))</f>
        <v/>
      </c>
      <c r="O585" t="s">
        <v>38</v>
      </c>
      <c r="P585">
        <v>0</v>
      </c>
      <c r="Q585">
        <v>1</v>
      </c>
      <c r="R585">
        <v>37</v>
      </c>
      <c r="S585" t="str">
        <f t="shared" si="9"/>
        <v>Moderate Usage</v>
      </c>
      <c r="T585" t="s">
        <v>34</v>
      </c>
    </row>
    <row r="586" spans="1:20" x14ac:dyDescent="0.3">
      <c r="A586" t="s">
        <v>650</v>
      </c>
      <c r="B586" t="s">
        <v>45</v>
      </c>
      <c r="C586" t="s">
        <v>27</v>
      </c>
      <c r="D586" t="s">
        <v>52</v>
      </c>
      <c r="E586" t="s">
        <v>47</v>
      </c>
      <c r="F586">
        <v>5</v>
      </c>
      <c r="G586">
        <v>318.39999999999998</v>
      </c>
      <c r="H586" t="s">
        <v>37</v>
      </c>
      <c r="I586" t="s">
        <v>31</v>
      </c>
      <c r="J586" s="1">
        <v>45246</v>
      </c>
      <c r="K586" s="1">
        <f>DATE(YEAR(subscriptions[[#This Row],[signup_date]]),MONTH(subscriptions[[#This Row],[signup_date]]),1)</f>
        <v>45231</v>
      </c>
      <c r="L586" t="s">
        <v>34</v>
      </c>
      <c r="M586" s="1"/>
      <c r="N586" s="1" t="str">
        <f>IF(subscriptions[[#This Row],[churn_date]]="","",DATE(YEAR(subscriptions[[#This Row],[churn_date]]),MONTH(subscriptions[[#This Row],[churn_date]]),1))</f>
        <v/>
      </c>
      <c r="O586" t="s">
        <v>38</v>
      </c>
      <c r="P586">
        <v>0</v>
      </c>
      <c r="Q586">
        <v>4</v>
      </c>
      <c r="R586">
        <v>77</v>
      </c>
      <c r="S586" t="str">
        <f t="shared" si="9"/>
        <v>High Usage</v>
      </c>
      <c r="T586" t="s">
        <v>32</v>
      </c>
    </row>
    <row r="587" spans="1:20" x14ac:dyDescent="0.3">
      <c r="A587" t="s">
        <v>651</v>
      </c>
      <c r="B587" t="s">
        <v>40</v>
      </c>
      <c r="C587" t="s">
        <v>27</v>
      </c>
      <c r="D587" t="s">
        <v>63</v>
      </c>
      <c r="E587" t="s">
        <v>56</v>
      </c>
      <c r="F587">
        <v>116</v>
      </c>
      <c r="G587">
        <v>529.25</v>
      </c>
      <c r="H587" t="s">
        <v>71</v>
      </c>
      <c r="I587" t="s">
        <v>31</v>
      </c>
      <c r="J587" s="1">
        <v>45941</v>
      </c>
      <c r="K587" s="1">
        <f>DATE(YEAR(subscriptions[[#This Row],[signup_date]]),MONTH(subscriptions[[#This Row],[signup_date]]),1)</f>
        <v>45931</v>
      </c>
      <c r="L587" t="s">
        <v>34</v>
      </c>
      <c r="M587" s="1"/>
      <c r="N587" s="1" t="str">
        <f>IF(subscriptions[[#This Row],[churn_date]]="","",DATE(YEAR(subscriptions[[#This Row],[churn_date]]),MONTH(subscriptions[[#This Row],[churn_date]]),1))</f>
        <v/>
      </c>
      <c r="O587" t="s">
        <v>38</v>
      </c>
      <c r="P587">
        <v>6</v>
      </c>
      <c r="Q587">
        <v>3</v>
      </c>
      <c r="R587">
        <v>68</v>
      </c>
      <c r="S587" t="str">
        <f t="shared" si="9"/>
        <v>High Usage</v>
      </c>
      <c r="T587" t="s">
        <v>34</v>
      </c>
    </row>
    <row r="588" spans="1:20" x14ac:dyDescent="0.3">
      <c r="A588" t="s">
        <v>652</v>
      </c>
      <c r="B588" t="s">
        <v>45</v>
      </c>
      <c r="C588" t="s">
        <v>27</v>
      </c>
      <c r="D588" t="s">
        <v>52</v>
      </c>
      <c r="E588" t="s">
        <v>53</v>
      </c>
      <c r="F588">
        <v>1</v>
      </c>
      <c r="G588">
        <v>199</v>
      </c>
      <c r="H588" t="s">
        <v>54</v>
      </c>
      <c r="I588" t="s">
        <v>80</v>
      </c>
      <c r="J588" s="1">
        <v>44808</v>
      </c>
      <c r="K588" s="1">
        <f>DATE(YEAR(subscriptions[[#This Row],[signup_date]]),MONTH(subscriptions[[#This Row],[signup_date]]),1)</f>
        <v>44805</v>
      </c>
      <c r="L588" t="s">
        <v>34</v>
      </c>
      <c r="M588" s="1"/>
      <c r="N588" s="1" t="str">
        <f>IF(subscriptions[[#This Row],[churn_date]]="","",DATE(YEAR(subscriptions[[#This Row],[churn_date]]),MONTH(subscriptions[[#This Row],[churn_date]]),1))</f>
        <v/>
      </c>
      <c r="O588" t="s">
        <v>38</v>
      </c>
      <c r="P588">
        <v>2</v>
      </c>
      <c r="Q588">
        <v>6</v>
      </c>
      <c r="R588">
        <v>84</v>
      </c>
      <c r="S588" t="str">
        <f t="shared" si="9"/>
        <v>Very High Usage</v>
      </c>
      <c r="T588" t="s">
        <v>32</v>
      </c>
    </row>
    <row r="589" spans="1:20" x14ac:dyDescent="0.3">
      <c r="A589" t="s">
        <v>653</v>
      </c>
      <c r="B589" t="s">
        <v>45</v>
      </c>
      <c r="C589" t="s">
        <v>27</v>
      </c>
      <c r="D589" t="s">
        <v>28</v>
      </c>
      <c r="E589" t="s">
        <v>47</v>
      </c>
      <c r="F589">
        <v>33</v>
      </c>
      <c r="G589">
        <v>1154.2</v>
      </c>
      <c r="H589" t="s">
        <v>30</v>
      </c>
      <c r="I589" t="s">
        <v>80</v>
      </c>
      <c r="J589" s="1">
        <v>44943</v>
      </c>
      <c r="K589" s="1">
        <f>DATE(YEAR(subscriptions[[#This Row],[signup_date]]),MONTH(subscriptions[[#This Row],[signup_date]]),1)</f>
        <v>44927</v>
      </c>
      <c r="L589" t="s">
        <v>32</v>
      </c>
      <c r="M589" s="1">
        <v>45857</v>
      </c>
      <c r="N589" s="1">
        <f>IF(subscriptions[[#This Row],[churn_date]]="","",DATE(YEAR(subscriptions[[#This Row],[churn_date]]),MONTH(subscriptions[[#This Row],[churn_date]]),1))</f>
        <v>45839</v>
      </c>
      <c r="O589" t="s">
        <v>61</v>
      </c>
      <c r="P589">
        <v>1</v>
      </c>
      <c r="Q589">
        <v>3</v>
      </c>
      <c r="R589">
        <v>37</v>
      </c>
      <c r="S589" t="str">
        <f t="shared" si="9"/>
        <v>Moderate Usage</v>
      </c>
      <c r="T589" t="s">
        <v>34</v>
      </c>
    </row>
    <row r="590" spans="1:20" x14ac:dyDescent="0.3">
      <c r="A590" t="s">
        <v>654</v>
      </c>
      <c r="B590" t="s">
        <v>40</v>
      </c>
      <c r="C590" t="s">
        <v>36</v>
      </c>
      <c r="D590" t="s">
        <v>63</v>
      </c>
      <c r="E590" t="s">
        <v>53</v>
      </c>
      <c r="F590">
        <v>7</v>
      </c>
      <c r="G590">
        <v>46.83</v>
      </c>
      <c r="H590" t="s">
        <v>54</v>
      </c>
      <c r="I590" t="s">
        <v>80</v>
      </c>
      <c r="J590" s="1">
        <v>45251</v>
      </c>
      <c r="K590" s="1">
        <f>DATE(YEAR(subscriptions[[#This Row],[signup_date]]),MONTH(subscriptions[[#This Row],[signup_date]]),1)</f>
        <v>45231</v>
      </c>
      <c r="L590" t="s">
        <v>32</v>
      </c>
      <c r="M590" s="1">
        <v>45481</v>
      </c>
      <c r="N590" s="1">
        <f>IF(subscriptions[[#This Row],[churn_date]]="","",DATE(YEAR(subscriptions[[#This Row],[churn_date]]),MONTH(subscriptions[[#This Row],[churn_date]]),1))</f>
        <v>45474</v>
      </c>
      <c r="O590" t="s">
        <v>64</v>
      </c>
      <c r="P590">
        <v>11</v>
      </c>
      <c r="Q590">
        <v>1</v>
      </c>
      <c r="R590">
        <v>18</v>
      </c>
      <c r="S590" t="str">
        <f t="shared" si="9"/>
        <v>Very Low Usage</v>
      </c>
      <c r="T590" t="s">
        <v>34</v>
      </c>
    </row>
    <row r="591" spans="1:20" x14ac:dyDescent="0.3">
      <c r="A591" t="s">
        <v>655</v>
      </c>
      <c r="B591" t="s">
        <v>40</v>
      </c>
      <c r="C591" t="s">
        <v>27</v>
      </c>
      <c r="D591" t="s">
        <v>90</v>
      </c>
      <c r="E591" t="s">
        <v>47</v>
      </c>
      <c r="F591">
        <v>21</v>
      </c>
      <c r="G591">
        <v>116</v>
      </c>
      <c r="H591" t="s">
        <v>30</v>
      </c>
      <c r="I591" t="s">
        <v>80</v>
      </c>
      <c r="J591" s="1">
        <v>45189</v>
      </c>
      <c r="K591" s="1">
        <f>DATE(YEAR(subscriptions[[#This Row],[signup_date]]),MONTH(subscriptions[[#This Row],[signup_date]]),1)</f>
        <v>45170</v>
      </c>
      <c r="L591" t="s">
        <v>32</v>
      </c>
      <c r="M591" s="1">
        <v>45251</v>
      </c>
      <c r="N591" s="1">
        <f>IF(subscriptions[[#This Row],[churn_date]]="","",DATE(YEAR(subscriptions[[#This Row],[churn_date]]),MONTH(subscriptions[[#This Row],[churn_date]]),1))</f>
        <v>45231</v>
      </c>
      <c r="O591" t="s">
        <v>74</v>
      </c>
      <c r="P591">
        <v>11</v>
      </c>
      <c r="Q591">
        <v>3</v>
      </c>
      <c r="R591">
        <v>16</v>
      </c>
      <c r="S591" t="str">
        <f t="shared" si="9"/>
        <v>Very Low Usage</v>
      </c>
      <c r="T591" t="s">
        <v>34</v>
      </c>
    </row>
    <row r="592" spans="1:20" x14ac:dyDescent="0.3">
      <c r="A592" t="s">
        <v>656</v>
      </c>
      <c r="B592" t="s">
        <v>45</v>
      </c>
      <c r="C592" t="s">
        <v>27</v>
      </c>
      <c r="D592" t="s">
        <v>52</v>
      </c>
      <c r="E592" t="s">
        <v>47</v>
      </c>
      <c r="F592">
        <v>6</v>
      </c>
      <c r="G592">
        <v>348.25</v>
      </c>
      <c r="H592" t="s">
        <v>30</v>
      </c>
      <c r="I592" t="s">
        <v>31</v>
      </c>
      <c r="J592" s="1">
        <v>45252</v>
      </c>
      <c r="K592" s="1">
        <f>DATE(YEAR(subscriptions[[#This Row],[signup_date]]),MONTH(subscriptions[[#This Row],[signup_date]]),1)</f>
        <v>45231</v>
      </c>
      <c r="L592" t="s">
        <v>34</v>
      </c>
      <c r="M592" s="1"/>
      <c r="N592" s="1" t="str">
        <f>IF(subscriptions[[#This Row],[churn_date]]="","",DATE(YEAR(subscriptions[[#This Row],[churn_date]]),MONTH(subscriptions[[#This Row],[churn_date]]),1))</f>
        <v/>
      </c>
      <c r="O592" t="s">
        <v>38</v>
      </c>
      <c r="P592">
        <v>1</v>
      </c>
      <c r="Q592">
        <v>2</v>
      </c>
      <c r="R592">
        <v>27</v>
      </c>
      <c r="S592" t="str">
        <f t="shared" si="9"/>
        <v>Moderate Usage</v>
      </c>
      <c r="T592" t="s">
        <v>32</v>
      </c>
    </row>
    <row r="593" spans="1:20" x14ac:dyDescent="0.3">
      <c r="A593" t="s">
        <v>657</v>
      </c>
      <c r="B593" t="s">
        <v>26</v>
      </c>
      <c r="C593" t="s">
        <v>27</v>
      </c>
      <c r="D593" t="s">
        <v>60</v>
      </c>
      <c r="E593" t="s">
        <v>47</v>
      </c>
      <c r="F593">
        <v>6</v>
      </c>
      <c r="G593">
        <v>138.25</v>
      </c>
      <c r="H593" t="s">
        <v>43</v>
      </c>
      <c r="I593" t="s">
        <v>48</v>
      </c>
      <c r="J593" s="1">
        <v>44836</v>
      </c>
      <c r="K593" s="1">
        <f>DATE(YEAR(subscriptions[[#This Row],[signup_date]]),MONTH(subscriptions[[#This Row],[signup_date]]),1)</f>
        <v>44835</v>
      </c>
      <c r="L593" t="s">
        <v>32</v>
      </c>
      <c r="M593" s="1">
        <v>45335</v>
      </c>
      <c r="N593" s="1">
        <f>IF(subscriptions[[#This Row],[churn_date]]="","",DATE(YEAR(subscriptions[[#This Row],[churn_date]]),MONTH(subscriptions[[#This Row],[churn_date]]),1))</f>
        <v>45323</v>
      </c>
      <c r="O593" t="s">
        <v>57</v>
      </c>
      <c r="P593">
        <v>5</v>
      </c>
      <c r="Q593">
        <v>3</v>
      </c>
      <c r="R593">
        <v>11</v>
      </c>
      <c r="S593" t="str">
        <f t="shared" si="9"/>
        <v>Very Low Usage</v>
      </c>
      <c r="T593" t="s">
        <v>34</v>
      </c>
    </row>
    <row r="594" spans="1:20" x14ac:dyDescent="0.3">
      <c r="A594" t="s">
        <v>658</v>
      </c>
      <c r="B594" t="s">
        <v>45</v>
      </c>
      <c r="C594" t="s">
        <v>27</v>
      </c>
      <c r="D594" t="s">
        <v>46</v>
      </c>
      <c r="E594" t="s">
        <v>29</v>
      </c>
      <c r="F594">
        <v>47</v>
      </c>
      <c r="G594">
        <v>1572.1</v>
      </c>
      <c r="H594" t="s">
        <v>30</v>
      </c>
      <c r="I594" t="s">
        <v>31</v>
      </c>
      <c r="J594" s="1">
        <v>44964</v>
      </c>
      <c r="K594" s="1">
        <f>DATE(YEAR(subscriptions[[#This Row],[signup_date]]),MONTH(subscriptions[[#This Row],[signup_date]]),1)</f>
        <v>44958</v>
      </c>
      <c r="L594" t="s">
        <v>34</v>
      </c>
      <c r="M594" s="1"/>
      <c r="N594" s="1" t="str">
        <f>IF(subscriptions[[#This Row],[churn_date]]="","",DATE(YEAR(subscriptions[[#This Row],[churn_date]]),MONTH(subscriptions[[#This Row],[churn_date]]),1))</f>
        <v/>
      </c>
      <c r="O594" t="s">
        <v>38</v>
      </c>
      <c r="P594">
        <v>1</v>
      </c>
      <c r="Q594">
        <v>9</v>
      </c>
      <c r="R594">
        <v>27</v>
      </c>
      <c r="S594" t="str">
        <f t="shared" si="9"/>
        <v>Moderate Usage</v>
      </c>
      <c r="T594" t="s">
        <v>34</v>
      </c>
    </row>
    <row r="595" spans="1:20" x14ac:dyDescent="0.3">
      <c r="A595" t="s">
        <v>659</v>
      </c>
      <c r="B595" t="s">
        <v>45</v>
      </c>
      <c r="C595" t="s">
        <v>36</v>
      </c>
      <c r="D595" t="s">
        <v>79</v>
      </c>
      <c r="E595" t="s">
        <v>29</v>
      </c>
      <c r="F595">
        <v>76</v>
      </c>
      <c r="G595">
        <v>2072.09</v>
      </c>
      <c r="H595" t="s">
        <v>30</v>
      </c>
      <c r="I595" t="s">
        <v>66</v>
      </c>
      <c r="J595" s="1">
        <v>44909</v>
      </c>
      <c r="K595" s="1">
        <f>DATE(YEAR(subscriptions[[#This Row],[signup_date]]),MONTH(subscriptions[[#This Row],[signup_date]]),1)</f>
        <v>44896</v>
      </c>
      <c r="L595" t="s">
        <v>32</v>
      </c>
      <c r="M595" s="1">
        <v>45026</v>
      </c>
      <c r="N595" s="1">
        <f>IF(subscriptions[[#This Row],[churn_date]]="","",DATE(YEAR(subscriptions[[#This Row],[churn_date]]),MONTH(subscriptions[[#This Row],[churn_date]]),1))</f>
        <v>45017</v>
      </c>
      <c r="O595" t="s">
        <v>33</v>
      </c>
      <c r="P595">
        <v>4</v>
      </c>
      <c r="Q595">
        <v>2</v>
      </c>
      <c r="R595">
        <v>35</v>
      </c>
      <c r="S595" t="str">
        <f t="shared" si="9"/>
        <v>Moderate Usage</v>
      </c>
      <c r="T595" t="s">
        <v>34</v>
      </c>
    </row>
    <row r="596" spans="1:20" x14ac:dyDescent="0.3">
      <c r="A596" t="s">
        <v>660</v>
      </c>
      <c r="B596" t="s">
        <v>45</v>
      </c>
      <c r="C596" t="s">
        <v>27</v>
      </c>
      <c r="D596" t="s">
        <v>50</v>
      </c>
      <c r="E596" t="s">
        <v>47</v>
      </c>
      <c r="F596">
        <v>11</v>
      </c>
      <c r="G596">
        <v>497.5</v>
      </c>
      <c r="H596" t="s">
        <v>30</v>
      </c>
      <c r="I596" t="s">
        <v>48</v>
      </c>
      <c r="J596" s="1">
        <v>45027</v>
      </c>
      <c r="K596" s="1">
        <f>DATE(YEAR(subscriptions[[#This Row],[signup_date]]),MONTH(subscriptions[[#This Row],[signup_date]]),1)</f>
        <v>45017</v>
      </c>
      <c r="L596" t="s">
        <v>32</v>
      </c>
      <c r="M596" s="1">
        <v>45610</v>
      </c>
      <c r="N596" s="1">
        <f>IF(subscriptions[[#This Row],[churn_date]]="","",DATE(YEAR(subscriptions[[#This Row],[churn_date]]),MONTH(subscriptions[[#This Row],[churn_date]]),1))</f>
        <v>45597</v>
      </c>
      <c r="O596" t="s">
        <v>93</v>
      </c>
      <c r="P596">
        <v>3</v>
      </c>
      <c r="Q596">
        <v>3</v>
      </c>
      <c r="R596">
        <v>48</v>
      </c>
      <c r="S596" t="str">
        <f t="shared" si="9"/>
        <v>Moderate Usage</v>
      </c>
      <c r="T596" t="s">
        <v>34</v>
      </c>
    </row>
    <row r="597" spans="1:20" x14ac:dyDescent="0.3">
      <c r="A597" t="s">
        <v>661</v>
      </c>
      <c r="B597" t="s">
        <v>26</v>
      </c>
      <c r="C597" t="s">
        <v>36</v>
      </c>
      <c r="D597" t="s">
        <v>63</v>
      </c>
      <c r="E597" t="s">
        <v>47</v>
      </c>
      <c r="F597">
        <v>32</v>
      </c>
      <c r="G597">
        <v>379.4</v>
      </c>
      <c r="H597" t="s">
        <v>54</v>
      </c>
      <c r="I597" t="s">
        <v>31</v>
      </c>
      <c r="J597" s="1">
        <v>45631</v>
      </c>
      <c r="K597" s="1">
        <f>DATE(YEAR(subscriptions[[#This Row],[signup_date]]),MONTH(subscriptions[[#This Row],[signup_date]]),1)</f>
        <v>45627</v>
      </c>
      <c r="L597" t="s">
        <v>34</v>
      </c>
      <c r="M597" s="1"/>
      <c r="N597" s="1" t="str">
        <f>IF(subscriptions[[#This Row],[churn_date]]="","",DATE(YEAR(subscriptions[[#This Row],[churn_date]]),MONTH(subscriptions[[#This Row],[churn_date]]),1))</f>
        <v/>
      </c>
      <c r="O597" t="s">
        <v>38</v>
      </c>
      <c r="P597">
        <v>3</v>
      </c>
      <c r="Q597">
        <v>6</v>
      </c>
      <c r="R597">
        <v>65</v>
      </c>
      <c r="S597" t="str">
        <f t="shared" si="9"/>
        <v>High Usage</v>
      </c>
      <c r="T597" t="s">
        <v>32</v>
      </c>
    </row>
    <row r="598" spans="1:20" x14ac:dyDescent="0.3">
      <c r="A598" t="s">
        <v>662</v>
      </c>
      <c r="B598" t="s">
        <v>26</v>
      </c>
      <c r="C598" t="s">
        <v>36</v>
      </c>
      <c r="D598" t="s">
        <v>52</v>
      </c>
      <c r="E598" t="s">
        <v>56</v>
      </c>
      <c r="F598">
        <v>106</v>
      </c>
      <c r="G598">
        <v>1124.76</v>
      </c>
      <c r="H598" t="s">
        <v>37</v>
      </c>
      <c r="I598" t="s">
        <v>48</v>
      </c>
      <c r="J598" s="1">
        <v>45102</v>
      </c>
      <c r="K598" s="1">
        <f>DATE(YEAR(subscriptions[[#This Row],[signup_date]]),MONTH(subscriptions[[#This Row],[signup_date]]),1)</f>
        <v>45078</v>
      </c>
      <c r="L598" t="s">
        <v>34</v>
      </c>
      <c r="M598" s="1"/>
      <c r="N598" s="1" t="str">
        <f>IF(subscriptions[[#This Row],[churn_date]]="","",DATE(YEAR(subscriptions[[#This Row],[churn_date]]),MONTH(subscriptions[[#This Row],[churn_date]]),1))</f>
        <v/>
      </c>
      <c r="O598" t="s">
        <v>38</v>
      </c>
      <c r="P598">
        <v>3</v>
      </c>
      <c r="Q598">
        <v>3</v>
      </c>
      <c r="R598">
        <v>57</v>
      </c>
      <c r="S598" t="str">
        <f t="shared" si="9"/>
        <v>High Usage</v>
      </c>
      <c r="T598" t="s">
        <v>34</v>
      </c>
    </row>
    <row r="599" spans="1:20" x14ac:dyDescent="0.3">
      <c r="A599" t="s">
        <v>663</v>
      </c>
      <c r="B599" t="s">
        <v>40</v>
      </c>
      <c r="C599" t="s">
        <v>27</v>
      </c>
      <c r="D599" t="s">
        <v>52</v>
      </c>
      <c r="E599" t="s">
        <v>56</v>
      </c>
      <c r="F599">
        <v>84</v>
      </c>
      <c r="G599">
        <v>390.05</v>
      </c>
      <c r="H599" t="s">
        <v>30</v>
      </c>
      <c r="I599" t="s">
        <v>80</v>
      </c>
      <c r="J599" s="1">
        <v>45174</v>
      </c>
      <c r="K599" s="1">
        <f>DATE(YEAR(subscriptions[[#This Row],[signup_date]]),MONTH(subscriptions[[#This Row],[signup_date]]),1)</f>
        <v>45170</v>
      </c>
      <c r="L599" t="s">
        <v>34</v>
      </c>
      <c r="M599" s="1"/>
      <c r="N599" s="1" t="str">
        <f>IF(subscriptions[[#This Row],[churn_date]]="","",DATE(YEAR(subscriptions[[#This Row],[churn_date]]),MONTH(subscriptions[[#This Row],[churn_date]]),1))</f>
        <v/>
      </c>
      <c r="O599" t="s">
        <v>38</v>
      </c>
      <c r="P599">
        <v>3</v>
      </c>
      <c r="Q599">
        <v>4</v>
      </c>
      <c r="R599">
        <v>67</v>
      </c>
      <c r="S599" t="str">
        <f t="shared" si="9"/>
        <v>High Usage</v>
      </c>
      <c r="T599" t="s">
        <v>34</v>
      </c>
    </row>
    <row r="600" spans="1:20" x14ac:dyDescent="0.3">
      <c r="A600" t="s">
        <v>664</v>
      </c>
      <c r="B600" t="s">
        <v>26</v>
      </c>
      <c r="C600" t="s">
        <v>36</v>
      </c>
      <c r="D600" t="s">
        <v>28</v>
      </c>
      <c r="E600" t="s">
        <v>47</v>
      </c>
      <c r="F600">
        <v>18</v>
      </c>
      <c r="G600">
        <v>238.38</v>
      </c>
      <c r="H600" t="s">
        <v>30</v>
      </c>
      <c r="I600" t="s">
        <v>31</v>
      </c>
      <c r="J600" s="1">
        <v>45107</v>
      </c>
      <c r="K600" s="1">
        <f>DATE(YEAR(subscriptions[[#This Row],[signup_date]]),MONTH(subscriptions[[#This Row],[signup_date]]),1)</f>
        <v>45078</v>
      </c>
      <c r="L600" t="s">
        <v>34</v>
      </c>
      <c r="M600" s="1"/>
      <c r="N600" s="1" t="str">
        <f>IF(subscriptions[[#This Row],[churn_date]]="","",DATE(YEAR(subscriptions[[#This Row],[churn_date]]),MONTH(subscriptions[[#This Row],[churn_date]]),1))</f>
        <v/>
      </c>
      <c r="O600" t="s">
        <v>38</v>
      </c>
      <c r="P600">
        <v>11</v>
      </c>
      <c r="Q600">
        <v>4</v>
      </c>
      <c r="R600">
        <v>50</v>
      </c>
      <c r="S600" t="str">
        <f t="shared" si="9"/>
        <v>Moderate Usage</v>
      </c>
      <c r="T600" t="s">
        <v>34</v>
      </c>
    </row>
    <row r="601" spans="1:20" x14ac:dyDescent="0.3">
      <c r="A601" t="s">
        <v>665</v>
      </c>
      <c r="B601" t="s">
        <v>40</v>
      </c>
      <c r="C601" t="s">
        <v>27</v>
      </c>
      <c r="D601" t="s">
        <v>60</v>
      </c>
      <c r="E601" t="s">
        <v>42</v>
      </c>
      <c r="F601">
        <v>87</v>
      </c>
      <c r="G601">
        <v>403.1</v>
      </c>
      <c r="H601" t="s">
        <v>43</v>
      </c>
      <c r="I601" t="s">
        <v>48</v>
      </c>
      <c r="J601" s="1">
        <v>45976</v>
      </c>
      <c r="K601" s="1">
        <f>DATE(YEAR(subscriptions[[#This Row],[signup_date]]),MONTH(subscriptions[[#This Row],[signup_date]]),1)</f>
        <v>45962</v>
      </c>
      <c r="L601" t="s">
        <v>34</v>
      </c>
      <c r="M601" s="1"/>
      <c r="N601" s="1" t="str">
        <f>IF(subscriptions[[#This Row],[churn_date]]="","",DATE(YEAR(subscriptions[[#This Row],[churn_date]]),MONTH(subscriptions[[#This Row],[churn_date]]),1))</f>
        <v/>
      </c>
      <c r="O601" t="s">
        <v>38</v>
      </c>
      <c r="P601">
        <v>10</v>
      </c>
      <c r="Q601">
        <v>10</v>
      </c>
      <c r="R601">
        <v>70</v>
      </c>
      <c r="S601" t="str">
        <f t="shared" si="9"/>
        <v>High Usage</v>
      </c>
      <c r="T60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2401-348F-4408-80C5-56738D51D241}">
  <dimension ref="A1:K49"/>
  <sheetViews>
    <sheetView workbookViewId="0">
      <selection activeCell="L6" sqref="L6"/>
    </sheetView>
  </sheetViews>
  <sheetFormatPr defaultRowHeight="14.4" x14ac:dyDescent="0.3"/>
  <cols>
    <col min="1" max="1" width="9.33203125" bestFit="1" customWidth="1"/>
    <col min="2" max="2" width="22.77734375" bestFit="1" customWidth="1"/>
    <col min="3" max="3" width="16.21875" bestFit="1" customWidth="1"/>
    <col min="4" max="4" width="19.77734375" bestFit="1" customWidth="1"/>
    <col min="5" max="5" width="19.77734375" style="6" customWidth="1"/>
    <col min="6" max="6" width="23.33203125" bestFit="1" customWidth="1"/>
    <col min="7" max="7" width="10.88671875" bestFit="1" customWidth="1"/>
    <col min="8" max="9" width="25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698</v>
      </c>
      <c r="G1" t="s">
        <v>5</v>
      </c>
      <c r="H1" t="s">
        <v>6</v>
      </c>
      <c r="I1" t="s">
        <v>7</v>
      </c>
      <c r="J1" t="s">
        <v>701</v>
      </c>
      <c r="K1" t="s">
        <v>702</v>
      </c>
    </row>
    <row r="2" spans="1:11" x14ac:dyDescent="0.3">
      <c r="A2" s="1">
        <v>44562</v>
      </c>
      <c r="B2">
        <v>0</v>
      </c>
      <c r="C2">
        <v>5</v>
      </c>
      <c r="D2">
        <v>0</v>
      </c>
      <c r="E2">
        <v>0</v>
      </c>
      <c r="F2">
        <f>monthly_revenue[[#This Row],[monthly_churn_rate_pct]]/100</f>
        <v>0</v>
      </c>
      <c r="G2">
        <v>0</v>
      </c>
      <c r="H2">
        <v>0</v>
      </c>
      <c r="I2">
        <v>164.92</v>
      </c>
      <c r="J2">
        <v>0</v>
      </c>
      <c r="K2">
        <f>monthly_revenue[[#This Row],[avg_revenue_per_customer]]*monthly_revenue[[#This Row],[churned_customers]]</f>
        <v>0</v>
      </c>
    </row>
    <row r="3" spans="1:11" x14ac:dyDescent="0.3">
      <c r="A3" s="1">
        <v>44593</v>
      </c>
      <c r="B3">
        <v>5</v>
      </c>
      <c r="C3">
        <v>10</v>
      </c>
      <c r="D3">
        <v>1</v>
      </c>
      <c r="E3">
        <v>20</v>
      </c>
      <c r="F3">
        <f>monthly_revenue[[#This Row],[monthly_churn_rate_pct]]/100</f>
        <v>0.2</v>
      </c>
      <c r="G3">
        <v>7333.07</v>
      </c>
      <c r="H3">
        <v>1466.61</v>
      </c>
      <c r="I3">
        <v>189.21</v>
      </c>
      <c r="J3">
        <f>C2*monthly_revenue[[#This Row],[avg_revenue_per_customer]]</f>
        <v>7333.0499999999993</v>
      </c>
      <c r="K3">
        <f>monthly_revenue[[#This Row],[avg_revenue_per_customer]]*monthly_revenue[[#This Row],[churned_customers]]</f>
        <v>1466.61</v>
      </c>
    </row>
    <row r="4" spans="1:11" x14ac:dyDescent="0.3">
      <c r="A4" s="1">
        <v>44621</v>
      </c>
      <c r="B4">
        <v>14</v>
      </c>
      <c r="C4">
        <v>13</v>
      </c>
      <c r="D4">
        <v>0</v>
      </c>
      <c r="E4">
        <v>0</v>
      </c>
      <c r="F4">
        <f>monthly_revenue[[#This Row],[monthly_churn_rate_pct]]/100</f>
        <v>0</v>
      </c>
      <c r="G4">
        <v>12301.16</v>
      </c>
      <c r="H4">
        <v>878.65</v>
      </c>
      <c r="I4">
        <v>139.49</v>
      </c>
      <c r="J4">
        <f>C3*monthly_revenue[[#This Row],[avg_revenue_per_customer]]</f>
        <v>8786.5</v>
      </c>
      <c r="K4">
        <f>monthly_revenue[[#This Row],[avg_revenue_per_customer]]*monthly_revenue[[#This Row],[churned_customers]]</f>
        <v>0</v>
      </c>
    </row>
    <row r="5" spans="1:11" x14ac:dyDescent="0.3">
      <c r="A5" s="1">
        <v>44652</v>
      </c>
      <c r="B5">
        <v>28</v>
      </c>
      <c r="C5">
        <v>11</v>
      </c>
      <c r="D5">
        <v>3</v>
      </c>
      <c r="E5">
        <v>10.71</v>
      </c>
      <c r="F5">
        <f>monthly_revenue[[#This Row],[monthly_churn_rate_pct]]/100</f>
        <v>0.10710000000000001</v>
      </c>
      <c r="G5">
        <v>24798.76</v>
      </c>
      <c r="H5">
        <v>885.67</v>
      </c>
      <c r="I5">
        <v>259.08999999999997</v>
      </c>
      <c r="J5">
        <f>C4*monthly_revenue[[#This Row],[avg_revenue_per_customer]]</f>
        <v>11513.71</v>
      </c>
      <c r="K5">
        <f>monthly_revenue[[#This Row],[avg_revenue_per_customer]]*monthly_revenue[[#This Row],[churned_customers]]</f>
        <v>2657.0099999999998</v>
      </c>
    </row>
    <row r="6" spans="1:11" x14ac:dyDescent="0.3">
      <c r="A6" s="1">
        <v>44682</v>
      </c>
      <c r="B6">
        <v>35</v>
      </c>
      <c r="C6">
        <v>11</v>
      </c>
      <c r="D6">
        <v>1</v>
      </c>
      <c r="E6">
        <v>2.86</v>
      </c>
      <c r="F6">
        <f>monthly_revenue[[#This Row],[monthly_churn_rate_pct]]/100</f>
        <v>2.86E-2</v>
      </c>
      <c r="G6">
        <v>29091.88</v>
      </c>
      <c r="H6">
        <v>831.2</v>
      </c>
      <c r="I6">
        <v>152.96</v>
      </c>
      <c r="J6">
        <f>C5*monthly_revenue[[#This Row],[avg_revenue_per_customer]]</f>
        <v>9143.2000000000007</v>
      </c>
      <c r="K6">
        <f>monthly_revenue[[#This Row],[avg_revenue_per_customer]]*monthly_revenue[[#This Row],[churned_customers]]</f>
        <v>831.2</v>
      </c>
    </row>
    <row r="7" spans="1:11" x14ac:dyDescent="0.3">
      <c r="A7" s="1">
        <v>44713</v>
      </c>
      <c r="B7">
        <v>46</v>
      </c>
      <c r="C7">
        <v>10</v>
      </c>
      <c r="D7">
        <v>2</v>
      </c>
      <c r="E7">
        <v>4.3499999999999996</v>
      </c>
      <c r="F7">
        <f>monthly_revenue[[#This Row],[monthly_churn_rate_pct]]/100</f>
        <v>4.3499999999999997E-2</v>
      </c>
      <c r="G7">
        <v>38919.93</v>
      </c>
      <c r="H7">
        <v>846.09</v>
      </c>
      <c r="I7">
        <v>248.89</v>
      </c>
      <c r="J7">
        <f>C6*monthly_revenue[[#This Row],[avg_revenue_per_customer]]</f>
        <v>9306.99</v>
      </c>
      <c r="K7">
        <f>monthly_revenue[[#This Row],[avg_revenue_per_customer]]*monthly_revenue[[#This Row],[churned_customers]]</f>
        <v>1692.18</v>
      </c>
    </row>
    <row r="8" spans="1:11" x14ac:dyDescent="0.3">
      <c r="A8" s="1">
        <v>44743</v>
      </c>
      <c r="B8">
        <v>53</v>
      </c>
      <c r="C8">
        <v>8</v>
      </c>
      <c r="D8">
        <v>6</v>
      </c>
      <c r="E8">
        <v>11.32</v>
      </c>
      <c r="F8">
        <f>monthly_revenue[[#This Row],[monthly_churn_rate_pct]]/100</f>
        <v>0.11320000000000001</v>
      </c>
      <c r="G8">
        <v>45097.72</v>
      </c>
      <c r="H8">
        <v>850.9</v>
      </c>
      <c r="I8">
        <v>275.08</v>
      </c>
      <c r="J8">
        <f>C7*monthly_revenue[[#This Row],[avg_revenue_per_customer]]</f>
        <v>8509</v>
      </c>
      <c r="K8">
        <f>monthly_revenue[[#This Row],[avg_revenue_per_customer]]*monthly_revenue[[#This Row],[churned_customers]]</f>
        <v>5105.3999999999996</v>
      </c>
    </row>
    <row r="9" spans="1:11" x14ac:dyDescent="0.3">
      <c r="A9" s="1">
        <v>44774</v>
      </c>
      <c r="B9">
        <v>57</v>
      </c>
      <c r="C9">
        <v>18</v>
      </c>
      <c r="D9">
        <v>6</v>
      </c>
      <c r="E9">
        <v>10.53</v>
      </c>
      <c r="F9">
        <f>monthly_revenue[[#This Row],[monthly_churn_rate_pct]]/100</f>
        <v>0.10529999999999999</v>
      </c>
      <c r="G9">
        <v>54140.41</v>
      </c>
      <c r="H9">
        <v>949.83</v>
      </c>
      <c r="I9">
        <v>193.48</v>
      </c>
      <c r="J9">
        <f>C8*monthly_revenue[[#This Row],[avg_revenue_per_customer]]</f>
        <v>7598.64</v>
      </c>
      <c r="K9">
        <f>monthly_revenue[[#This Row],[avg_revenue_per_customer]]*monthly_revenue[[#This Row],[churned_customers]]</f>
        <v>5698.9800000000005</v>
      </c>
    </row>
    <row r="10" spans="1:11" x14ac:dyDescent="0.3">
      <c r="A10" s="1">
        <v>44805</v>
      </c>
      <c r="B10">
        <v>67</v>
      </c>
      <c r="C10">
        <v>13</v>
      </c>
      <c r="D10">
        <v>5</v>
      </c>
      <c r="E10">
        <v>7.46</v>
      </c>
      <c r="F10">
        <f>monthly_revenue[[#This Row],[monthly_churn_rate_pct]]/100</f>
        <v>7.46E-2</v>
      </c>
      <c r="G10">
        <v>65198</v>
      </c>
      <c r="H10">
        <v>973.1</v>
      </c>
      <c r="I10">
        <v>216</v>
      </c>
      <c r="J10">
        <f>C9*monthly_revenue[[#This Row],[avg_revenue_per_customer]]</f>
        <v>17515.8</v>
      </c>
      <c r="K10">
        <f>monthly_revenue[[#This Row],[avg_revenue_per_customer]]*monthly_revenue[[#This Row],[churned_customers]]</f>
        <v>4865.5</v>
      </c>
    </row>
    <row r="11" spans="1:11" x14ac:dyDescent="0.3">
      <c r="A11" s="1">
        <v>44835</v>
      </c>
      <c r="B11">
        <v>76</v>
      </c>
      <c r="C11">
        <v>16</v>
      </c>
      <c r="D11">
        <v>5</v>
      </c>
      <c r="E11">
        <v>6.58</v>
      </c>
      <c r="F11">
        <f>monthly_revenue[[#This Row],[monthly_churn_rate_pct]]/100</f>
        <v>6.5799999999999997E-2</v>
      </c>
      <c r="G11">
        <v>86824.16</v>
      </c>
      <c r="H11">
        <v>1142.42</v>
      </c>
      <c r="I11">
        <v>246.32</v>
      </c>
      <c r="J11">
        <f>C10*monthly_revenue[[#This Row],[avg_revenue_per_customer]]</f>
        <v>14851.460000000001</v>
      </c>
      <c r="K11">
        <f>monthly_revenue[[#This Row],[avg_revenue_per_customer]]*monthly_revenue[[#This Row],[churned_customers]]</f>
        <v>5712.1</v>
      </c>
    </row>
    <row r="12" spans="1:11" x14ac:dyDescent="0.3">
      <c r="A12" s="1">
        <v>44866</v>
      </c>
      <c r="B12">
        <v>87</v>
      </c>
      <c r="C12">
        <v>14</v>
      </c>
      <c r="D12">
        <v>5</v>
      </c>
      <c r="E12">
        <v>5.75</v>
      </c>
      <c r="F12">
        <f>monthly_revenue[[#This Row],[monthly_churn_rate_pct]]/100</f>
        <v>5.7500000000000002E-2</v>
      </c>
      <c r="G12">
        <v>93168.11</v>
      </c>
      <c r="H12">
        <v>1070.9000000000001</v>
      </c>
      <c r="I12">
        <v>130.12</v>
      </c>
      <c r="J12">
        <f>C11*monthly_revenue[[#This Row],[avg_revenue_per_customer]]</f>
        <v>17134.400000000001</v>
      </c>
      <c r="K12">
        <f>monthly_revenue[[#This Row],[avg_revenue_per_customer]]*monthly_revenue[[#This Row],[churned_customers]]</f>
        <v>5354.5</v>
      </c>
    </row>
    <row r="13" spans="1:11" x14ac:dyDescent="0.3">
      <c r="A13" s="1">
        <v>44896</v>
      </c>
      <c r="B13">
        <v>95</v>
      </c>
      <c r="C13">
        <v>14</v>
      </c>
      <c r="D13">
        <v>2</v>
      </c>
      <c r="E13">
        <v>2.11</v>
      </c>
      <c r="F13">
        <f>monthly_revenue[[#This Row],[monthly_churn_rate_pct]]/100</f>
        <v>2.1099999999999997E-2</v>
      </c>
      <c r="G13">
        <v>96100.66</v>
      </c>
      <c r="H13">
        <v>1011.59</v>
      </c>
      <c r="I13">
        <v>160.94</v>
      </c>
      <c r="J13">
        <f>C12*monthly_revenue[[#This Row],[avg_revenue_per_customer]]</f>
        <v>14162.26</v>
      </c>
      <c r="K13">
        <f>monthly_revenue[[#This Row],[avg_revenue_per_customer]]*monthly_revenue[[#This Row],[churned_customers]]</f>
        <v>2023.18</v>
      </c>
    </row>
    <row r="14" spans="1:11" x14ac:dyDescent="0.3">
      <c r="A14" s="1">
        <v>44927</v>
      </c>
      <c r="B14">
        <v>107</v>
      </c>
      <c r="C14">
        <v>12</v>
      </c>
      <c r="D14">
        <v>4</v>
      </c>
      <c r="E14">
        <v>3.74</v>
      </c>
      <c r="F14">
        <f>monthly_revenue[[#This Row],[monthly_churn_rate_pct]]/100</f>
        <v>3.7400000000000003E-2</v>
      </c>
      <c r="G14">
        <v>104773.35</v>
      </c>
      <c r="H14">
        <v>979.19</v>
      </c>
      <c r="I14">
        <v>258.64999999999998</v>
      </c>
      <c r="J14">
        <f>C13*monthly_revenue[[#This Row],[avg_revenue_per_customer]]</f>
        <v>13708.66</v>
      </c>
      <c r="K14">
        <f>monthly_revenue[[#This Row],[avg_revenue_per_customer]]*monthly_revenue[[#This Row],[churned_customers]]</f>
        <v>3916.76</v>
      </c>
    </row>
    <row r="15" spans="1:11" x14ac:dyDescent="0.3">
      <c r="A15" s="1">
        <v>44958</v>
      </c>
      <c r="B15">
        <v>115</v>
      </c>
      <c r="C15">
        <v>10</v>
      </c>
      <c r="D15">
        <v>3</v>
      </c>
      <c r="E15">
        <v>2.61</v>
      </c>
      <c r="F15">
        <f>monthly_revenue[[#This Row],[monthly_churn_rate_pct]]/100</f>
        <v>2.6099999999999998E-2</v>
      </c>
      <c r="G15">
        <v>115539.13</v>
      </c>
      <c r="H15">
        <v>1004.69</v>
      </c>
      <c r="I15">
        <v>262.48</v>
      </c>
      <c r="J15">
        <f>C14*monthly_revenue[[#This Row],[avg_revenue_per_customer]]</f>
        <v>12056.28</v>
      </c>
      <c r="K15">
        <f>monthly_revenue[[#This Row],[avg_revenue_per_customer]]*monthly_revenue[[#This Row],[churned_customers]]</f>
        <v>3014.07</v>
      </c>
    </row>
    <row r="16" spans="1:11" x14ac:dyDescent="0.3">
      <c r="A16" s="1">
        <v>44986</v>
      </c>
      <c r="B16">
        <v>123</v>
      </c>
      <c r="C16">
        <v>5</v>
      </c>
      <c r="D16">
        <v>2</v>
      </c>
      <c r="E16">
        <v>1.63</v>
      </c>
      <c r="F16">
        <f>monthly_revenue[[#This Row],[monthly_churn_rate_pct]]/100</f>
        <v>1.6299999999999999E-2</v>
      </c>
      <c r="G16">
        <v>125258.61</v>
      </c>
      <c r="H16">
        <v>1018.36</v>
      </c>
      <c r="I16">
        <v>274.97000000000003</v>
      </c>
      <c r="J16">
        <f>C15*monthly_revenue[[#This Row],[avg_revenue_per_customer]]</f>
        <v>10183.6</v>
      </c>
      <c r="K16">
        <f>monthly_revenue[[#This Row],[avg_revenue_per_customer]]*monthly_revenue[[#This Row],[churned_customers]]</f>
        <v>2036.72</v>
      </c>
    </row>
    <row r="17" spans="1:11" x14ac:dyDescent="0.3">
      <c r="A17" s="1">
        <v>45017</v>
      </c>
      <c r="B17">
        <v>125</v>
      </c>
      <c r="C17">
        <v>14</v>
      </c>
      <c r="D17">
        <v>8</v>
      </c>
      <c r="E17">
        <v>6.4</v>
      </c>
      <c r="F17">
        <f>monthly_revenue[[#This Row],[monthly_churn_rate_pct]]/100</f>
        <v>6.4000000000000001E-2</v>
      </c>
      <c r="G17">
        <v>129471.28</v>
      </c>
      <c r="H17">
        <v>1035.77</v>
      </c>
      <c r="I17">
        <v>271.47000000000003</v>
      </c>
      <c r="J17">
        <f>C16*monthly_revenue[[#This Row],[avg_revenue_per_customer]]</f>
        <v>5178.8500000000004</v>
      </c>
      <c r="K17">
        <f>monthly_revenue[[#This Row],[avg_revenue_per_customer]]*monthly_revenue[[#This Row],[churned_customers]]</f>
        <v>8286.16</v>
      </c>
    </row>
    <row r="18" spans="1:11" x14ac:dyDescent="0.3">
      <c r="A18" s="1">
        <v>45047</v>
      </c>
      <c r="B18">
        <v>133</v>
      </c>
      <c r="C18">
        <v>13</v>
      </c>
      <c r="D18">
        <v>4</v>
      </c>
      <c r="E18">
        <v>3.01</v>
      </c>
      <c r="F18">
        <f>monthly_revenue[[#This Row],[monthly_churn_rate_pct]]/100</f>
        <v>3.0099999999999998E-2</v>
      </c>
      <c r="G18">
        <v>142401.69</v>
      </c>
      <c r="H18">
        <v>1070.69</v>
      </c>
      <c r="I18">
        <v>122.99</v>
      </c>
      <c r="J18">
        <f>C17*monthly_revenue[[#This Row],[avg_revenue_per_customer]]</f>
        <v>14989.66</v>
      </c>
      <c r="K18">
        <f>monthly_revenue[[#This Row],[avg_revenue_per_customer]]*monthly_revenue[[#This Row],[churned_customers]]</f>
        <v>4282.76</v>
      </c>
    </row>
    <row r="19" spans="1:11" x14ac:dyDescent="0.3">
      <c r="A19" s="1">
        <v>45078</v>
      </c>
      <c r="B19">
        <v>140</v>
      </c>
      <c r="C19">
        <v>15</v>
      </c>
      <c r="D19">
        <v>10</v>
      </c>
      <c r="E19">
        <v>7.14</v>
      </c>
      <c r="F19">
        <f>monthly_revenue[[#This Row],[monthly_churn_rate_pct]]/100</f>
        <v>7.1399999999999991E-2</v>
      </c>
      <c r="G19">
        <v>142966.32</v>
      </c>
      <c r="H19">
        <v>1021.19</v>
      </c>
      <c r="I19">
        <v>161.5</v>
      </c>
      <c r="J19">
        <f>C18*monthly_revenue[[#This Row],[avg_revenue_per_customer]]</f>
        <v>13275.470000000001</v>
      </c>
      <c r="K19">
        <f>monthly_revenue[[#This Row],[avg_revenue_per_customer]]*monthly_revenue[[#This Row],[churned_customers]]</f>
        <v>10211.900000000001</v>
      </c>
    </row>
    <row r="20" spans="1:11" x14ac:dyDescent="0.3">
      <c r="A20" s="1">
        <v>45108</v>
      </c>
      <c r="B20">
        <v>145</v>
      </c>
      <c r="C20">
        <v>19</v>
      </c>
      <c r="D20">
        <v>7</v>
      </c>
      <c r="E20">
        <v>4.83</v>
      </c>
      <c r="F20">
        <f>monthly_revenue[[#This Row],[monthly_churn_rate_pct]]/100</f>
        <v>4.8300000000000003E-2</v>
      </c>
      <c r="G20">
        <v>147630.35999999999</v>
      </c>
      <c r="H20">
        <v>1018.14</v>
      </c>
      <c r="I20">
        <v>279.58999999999997</v>
      </c>
      <c r="J20">
        <f>C19*monthly_revenue[[#This Row],[avg_revenue_per_customer]]</f>
        <v>15272.1</v>
      </c>
      <c r="K20">
        <f>monthly_revenue[[#This Row],[avg_revenue_per_customer]]*monthly_revenue[[#This Row],[churned_customers]]</f>
        <v>7126.98</v>
      </c>
    </row>
    <row r="21" spans="1:11" x14ac:dyDescent="0.3">
      <c r="A21" s="1">
        <v>45139</v>
      </c>
      <c r="B21">
        <v>157</v>
      </c>
      <c r="C21">
        <v>10</v>
      </c>
      <c r="D21">
        <v>7</v>
      </c>
      <c r="E21">
        <v>4.46</v>
      </c>
      <c r="F21">
        <f>monthly_revenue[[#This Row],[monthly_churn_rate_pct]]/100</f>
        <v>4.4600000000000001E-2</v>
      </c>
      <c r="G21">
        <v>158920.70000000001</v>
      </c>
      <c r="H21">
        <v>1012.23</v>
      </c>
      <c r="I21">
        <v>131.26</v>
      </c>
      <c r="J21">
        <f>C20*monthly_revenue[[#This Row],[avg_revenue_per_customer]]</f>
        <v>19232.37</v>
      </c>
      <c r="K21">
        <f>monthly_revenue[[#This Row],[avg_revenue_per_customer]]*monthly_revenue[[#This Row],[churned_customers]]</f>
        <v>7085.6100000000006</v>
      </c>
    </row>
    <row r="22" spans="1:11" x14ac:dyDescent="0.3">
      <c r="A22" s="1">
        <v>45170</v>
      </c>
      <c r="B22">
        <v>160</v>
      </c>
      <c r="C22">
        <v>17</v>
      </c>
      <c r="D22">
        <v>7</v>
      </c>
      <c r="E22">
        <v>4.38</v>
      </c>
      <c r="F22">
        <f>monthly_revenue[[#This Row],[monthly_churn_rate_pct]]/100</f>
        <v>4.3799999999999999E-2</v>
      </c>
      <c r="G22">
        <v>162830.01999999999</v>
      </c>
      <c r="H22">
        <v>1017.69</v>
      </c>
      <c r="I22">
        <v>258.93</v>
      </c>
      <c r="J22">
        <f>C21*monthly_revenue[[#This Row],[avg_revenue_per_customer]]</f>
        <v>10176.900000000001</v>
      </c>
      <c r="K22">
        <f>monthly_revenue[[#This Row],[avg_revenue_per_customer]]*monthly_revenue[[#This Row],[churned_customers]]</f>
        <v>7123.83</v>
      </c>
    </row>
    <row r="23" spans="1:11" x14ac:dyDescent="0.3">
      <c r="A23" s="1">
        <v>45200</v>
      </c>
      <c r="B23">
        <v>170</v>
      </c>
      <c r="C23">
        <v>16</v>
      </c>
      <c r="D23">
        <v>5</v>
      </c>
      <c r="E23">
        <v>2.94</v>
      </c>
      <c r="F23">
        <f>monthly_revenue[[#This Row],[monthly_churn_rate_pct]]/100</f>
        <v>2.9399999999999999E-2</v>
      </c>
      <c r="G23">
        <v>170763.72</v>
      </c>
      <c r="H23">
        <v>1004.49</v>
      </c>
      <c r="I23">
        <v>240.01</v>
      </c>
      <c r="J23">
        <f>C22*monthly_revenue[[#This Row],[avg_revenue_per_customer]]</f>
        <v>17076.330000000002</v>
      </c>
      <c r="K23">
        <f>monthly_revenue[[#This Row],[avg_revenue_per_customer]]*monthly_revenue[[#This Row],[churned_customers]]</f>
        <v>5022.45</v>
      </c>
    </row>
    <row r="24" spans="1:11" x14ac:dyDescent="0.3">
      <c r="A24" s="1">
        <v>45231</v>
      </c>
      <c r="B24">
        <v>181</v>
      </c>
      <c r="C24">
        <v>11</v>
      </c>
      <c r="D24">
        <v>8</v>
      </c>
      <c r="E24">
        <v>4.42</v>
      </c>
      <c r="F24">
        <f>monthly_revenue[[#This Row],[monthly_churn_rate_pct]]/100</f>
        <v>4.4199999999999996E-2</v>
      </c>
      <c r="G24">
        <v>184058.29</v>
      </c>
      <c r="H24">
        <v>1016.9</v>
      </c>
      <c r="I24">
        <v>178.83</v>
      </c>
      <c r="J24">
        <f>C23*monthly_revenue[[#This Row],[avg_revenue_per_customer]]</f>
        <v>16270.4</v>
      </c>
      <c r="K24">
        <f>monthly_revenue[[#This Row],[avg_revenue_per_customer]]*monthly_revenue[[#This Row],[churned_customers]]</f>
        <v>8135.2</v>
      </c>
    </row>
    <row r="25" spans="1:11" x14ac:dyDescent="0.3">
      <c r="A25" s="1">
        <v>45261</v>
      </c>
      <c r="B25">
        <v>183</v>
      </c>
      <c r="C25">
        <v>9</v>
      </c>
      <c r="D25">
        <v>7</v>
      </c>
      <c r="E25">
        <v>3.83</v>
      </c>
      <c r="F25">
        <f>monthly_revenue[[#This Row],[monthly_churn_rate_pct]]/100</f>
        <v>3.8300000000000001E-2</v>
      </c>
      <c r="G25">
        <v>189579.35</v>
      </c>
      <c r="H25">
        <v>1035.95</v>
      </c>
      <c r="I25">
        <v>180.21</v>
      </c>
      <c r="J25">
        <f>C24*monthly_revenue[[#This Row],[avg_revenue_per_customer]]</f>
        <v>11395.45</v>
      </c>
      <c r="K25">
        <f>monthly_revenue[[#This Row],[avg_revenue_per_customer]]*monthly_revenue[[#This Row],[churned_customers]]</f>
        <v>7251.6500000000005</v>
      </c>
    </row>
    <row r="26" spans="1:11" x14ac:dyDescent="0.3">
      <c r="A26" s="1">
        <v>45292</v>
      </c>
      <c r="B26">
        <v>186</v>
      </c>
      <c r="C26">
        <v>10</v>
      </c>
      <c r="D26">
        <v>7</v>
      </c>
      <c r="E26">
        <v>3.76</v>
      </c>
      <c r="F26">
        <f>monthly_revenue[[#This Row],[monthly_churn_rate_pct]]/100</f>
        <v>3.7599999999999995E-2</v>
      </c>
      <c r="G26">
        <v>191783.54</v>
      </c>
      <c r="H26">
        <v>1031.0899999999999</v>
      </c>
      <c r="I26">
        <v>275.62</v>
      </c>
      <c r="J26">
        <f>C25*monthly_revenue[[#This Row],[avg_revenue_per_customer]]</f>
        <v>9279.81</v>
      </c>
      <c r="K26">
        <f>monthly_revenue[[#This Row],[avg_revenue_per_customer]]*monthly_revenue[[#This Row],[churned_customers]]</f>
        <v>7217.6299999999992</v>
      </c>
    </row>
    <row r="27" spans="1:11" x14ac:dyDescent="0.3">
      <c r="A27" s="1">
        <v>45323</v>
      </c>
      <c r="B27">
        <v>188</v>
      </c>
      <c r="C27">
        <v>7</v>
      </c>
      <c r="D27">
        <v>8</v>
      </c>
      <c r="E27">
        <v>4.26</v>
      </c>
      <c r="F27">
        <f>monthly_revenue[[#This Row],[monthly_churn_rate_pct]]/100</f>
        <v>4.2599999999999999E-2</v>
      </c>
      <c r="G27">
        <v>192379.41</v>
      </c>
      <c r="H27">
        <v>1023.29</v>
      </c>
      <c r="I27">
        <v>142.08000000000001</v>
      </c>
      <c r="J27">
        <f>C26*monthly_revenue[[#This Row],[avg_revenue_per_customer]]</f>
        <v>10232.9</v>
      </c>
      <c r="K27">
        <f>monthly_revenue[[#This Row],[avg_revenue_per_customer]]*monthly_revenue[[#This Row],[churned_customers]]</f>
        <v>8186.32</v>
      </c>
    </row>
    <row r="28" spans="1:11" x14ac:dyDescent="0.3">
      <c r="A28" s="1">
        <v>45352</v>
      </c>
      <c r="B28">
        <v>189</v>
      </c>
      <c r="C28">
        <v>19</v>
      </c>
      <c r="D28">
        <v>4</v>
      </c>
      <c r="E28">
        <v>2.12</v>
      </c>
      <c r="F28">
        <f>monthly_revenue[[#This Row],[monthly_churn_rate_pct]]/100</f>
        <v>2.12E-2</v>
      </c>
      <c r="G28">
        <v>196219.33</v>
      </c>
      <c r="H28">
        <v>1038.2</v>
      </c>
      <c r="I28">
        <v>251.87</v>
      </c>
      <c r="J28">
        <f>C27*monthly_revenue[[#This Row],[avg_revenue_per_customer]]</f>
        <v>7267.4000000000005</v>
      </c>
      <c r="K28">
        <f>monthly_revenue[[#This Row],[avg_revenue_per_customer]]*monthly_revenue[[#This Row],[churned_customers]]</f>
        <v>4152.8</v>
      </c>
    </row>
    <row r="29" spans="1:11" x14ac:dyDescent="0.3">
      <c r="A29" s="1">
        <v>45383</v>
      </c>
      <c r="B29">
        <v>203</v>
      </c>
      <c r="C29">
        <v>11</v>
      </c>
      <c r="D29">
        <v>8</v>
      </c>
      <c r="E29">
        <v>3.94</v>
      </c>
      <c r="F29">
        <f>monthly_revenue[[#This Row],[monthly_churn_rate_pct]]/100</f>
        <v>3.9399999999999998E-2</v>
      </c>
      <c r="G29">
        <v>200076.61</v>
      </c>
      <c r="H29">
        <v>985.6</v>
      </c>
      <c r="I29">
        <v>212.11</v>
      </c>
      <c r="J29">
        <f>C28*monthly_revenue[[#This Row],[avg_revenue_per_customer]]</f>
        <v>18726.400000000001</v>
      </c>
      <c r="K29">
        <f>monthly_revenue[[#This Row],[avg_revenue_per_customer]]*monthly_revenue[[#This Row],[churned_customers]]</f>
        <v>7884.8</v>
      </c>
    </row>
    <row r="30" spans="1:11" x14ac:dyDescent="0.3">
      <c r="A30" s="1">
        <v>45413</v>
      </c>
      <c r="B30">
        <v>206</v>
      </c>
      <c r="C30">
        <v>14</v>
      </c>
      <c r="D30">
        <v>8</v>
      </c>
      <c r="E30">
        <v>3.88</v>
      </c>
      <c r="F30">
        <f>monthly_revenue[[#This Row],[monthly_churn_rate_pct]]/100</f>
        <v>3.8800000000000001E-2</v>
      </c>
      <c r="G30">
        <v>217117.58</v>
      </c>
      <c r="H30">
        <v>1053.97</v>
      </c>
      <c r="I30">
        <v>139.55000000000001</v>
      </c>
      <c r="J30">
        <f>C29*monthly_revenue[[#This Row],[avg_revenue_per_customer]]</f>
        <v>11593.67</v>
      </c>
      <c r="K30">
        <f>monthly_revenue[[#This Row],[avg_revenue_per_customer]]*monthly_revenue[[#This Row],[churned_customers]]</f>
        <v>8431.76</v>
      </c>
    </row>
    <row r="31" spans="1:11" x14ac:dyDescent="0.3">
      <c r="A31" s="1">
        <v>45444</v>
      </c>
      <c r="B31">
        <v>213</v>
      </c>
      <c r="C31">
        <v>13</v>
      </c>
      <c r="D31">
        <v>9</v>
      </c>
      <c r="E31">
        <v>4.2300000000000004</v>
      </c>
      <c r="F31">
        <f>monthly_revenue[[#This Row],[monthly_churn_rate_pct]]/100</f>
        <v>4.2300000000000004E-2</v>
      </c>
      <c r="G31">
        <v>215810.52</v>
      </c>
      <c r="H31">
        <v>1013.19</v>
      </c>
      <c r="I31">
        <v>241.12</v>
      </c>
      <c r="J31">
        <f>C30*monthly_revenue[[#This Row],[avg_revenue_per_customer]]</f>
        <v>14184.66</v>
      </c>
      <c r="K31">
        <f>monthly_revenue[[#This Row],[avg_revenue_per_customer]]*monthly_revenue[[#This Row],[churned_customers]]</f>
        <v>9118.7100000000009</v>
      </c>
    </row>
    <row r="32" spans="1:11" x14ac:dyDescent="0.3">
      <c r="A32" s="1">
        <v>45474</v>
      </c>
      <c r="B32">
        <v>216</v>
      </c>
      <c r="C32">
        <v>14</v>
      </c>
      <c r="D32">
        <v>8</v>
      </c>
      <c r="E32">
        <v>3.7</v>
      </c>
      <c r="F32">
        <f>monthly_revenue[[#This Row],[monthly_churn_rate_pct]]/100</f>
        <v>3.7000000000000005E-2</v>
      </c>
      <c r="G32">
        <v>222303.35999999999</v>
      </c>
      <c r="H32">
        <v>1029.18</v>
      </c>
      <c r="I32">
        <v>201.02</v>
      </c>
      <c r="J32">
        <f>C31*monthly_revenue[[#This Row],[avg_revenue_per_customer]]</f>
        <v>13379.34</v>
      </c>
      <c r="K32">
        <f>monthly_revenue[[#This Row],[avg_revenue_per_customer]]*monthly_revenue[[#This Row],[churned_customers]]</f>
        <v>8233.44</v>
      </c>
    </row>
    <row r="33" spans="1:11" x14ac:dyDescent="0.3">
      <c r="A33" s="1">
        <v>45505</v>
      </c>
      <c r="B33">
        <v>223</v>
      </c>
      <c r="C33">
        <v>12</v>
      </c>
      <c r="D33">
        <v>7</v>
      </c>
      <c r="E33">
        <v>3.14</v>
      </c>
      <c r="F33">
        <f>monthly_revenue[[#This Row],[monthly_churn_rate_pct]]/100</f>
        <v>3.1400000000000004E-2</v>
      </c>
      <c r="G33">
        <v>242222.62</v>
      </c>
      <c r="H33">
        <v>1086.2</v>
      </c>
      <c r="I33">
        <v>128.12</v>
      </c>
      <c r="J33">
        <f>C32*monthly_revenue[[#This Row],[avg_revenue_per_customer]]</f>
        <v>15206.800000000001</v>
      </c>
      <c r="K33">
        <f>monthly_revenue[[#This Row],[avg_revenue_per_customer]]*monthly_revenue[[#This Row],[churned_customers]]</f>
        <v>7603.4000000000005</v>
      </c>
    </row>
    <row r="34" spans="1:11" x14ac:dyDescent="0.3">
      <c r="A34" s="1">
        <v>45536</v>
      </c>
      <c r="B34">
        <v>226</v>
      </c>
      <c r="C34">
        <v>11</v>
      </c>
      <c r="D34">
        <v>7</v>
      </c>
      <c r="E34">
        <v>3.1</v>
      </c>
      <c r="F34">
        <f>monthly_revenue[[#This Row],[monthly_churn_rate_pct]]/100</f>
        <v>3.1E-2</v>
      </c>
      <c r="G34">
        <v>234749.84</v>
      </c>
      <c r="H34">
        <v>1038.72</v>
      </c>
      <c r="I34">
        <v>125.59</v>
      </c>
      <c r="J34">
        <f>C33*monthly_revenue[[#This Row],[avg_revenue_per_customer]]</f>
        <v>12464.64</v>
      </c>
      <c r="K34">
        <f>monthly_revenue[[#This Row],[avg_revenue_per_customer]]*monthly_revenue[[#This Row],[churned_customers]]</f>
        <v>7271.04</v>
      </c>
    </row>
    <row r="35" spans="1:11" x14ac:dyDescent="0.3">
      <c r="A35" s="1">
        <v>45566</v>
      </c>
      <c r="B35">
        <v>233</v>
      </c>
      <c r="C35">
        <v>13</v>
      </c>
      <c r="D35">
        <v>7</v>
      </c>
      <c r="E35">
        <v>3</v>
      </c>
      <c r="F35">
        <f>monthly_revenue[[#This Row],[monthly_churn_rate_pct]]/100</f>
        <v>0.03</v>
      </c>
      <c r="G35">
        <v>239344.73</v>
      </c>
      <c r="H35">
        <v>1027.23</v>
      </c>
      <c r="I35">
        <v>242.79</v>
      </c>
      <c r="J35">
        <f>C34*monthly_revenue[[#This Row],[avg_revenue_per_customer]]</f>
        <v>11299.53</v>
      </c>
      <c r="K35">
        <f>monthly_revenue[[#This Row],[avg_revenue_per_customer]]*monthly_revenue[[#This Row],[churned_customers]]</f>
        <v>7190.6100000000006</v>
      </c>
    </row>
    <row r="36" spans="1:11" x14ac:dyDescent="0.3">
      <c r="A36" s="1">
        <v>45597</v>
      </c>
      <c r="B36">
        <v>238</v>
      </c>
      <c r="C36">
        <v>12</v>
      </c>
      <c r="D36">
        <v>9</v>
      </c>
      <c r="E36">
        <v>3.78</v>
      </c>
      <c r="F36">
        <f>monthly_revenue[[#This Row],[monthly_churn_rate_pct]]/100</f>
        <v>3.78E-2</v>
      </c>
      <c r="G36">
        <v>253489.47</v>
      </c>
      <c r="H36">
        <v>1065.08</v>
      </c>
      <c r="I36">
        <v>234.58</v>
      </c>
      <c r="J36">
        <f>C35*monthly_revenue[[#This Row],[avg_revenue_per_customer]]</f>
        <v>13846.039999999999</v>
      </c>
      <c r="K36">
        <f>monthly_revenue[[#This Row],[avg_revenue_per_customer]]*monthly_revenue[[#This Row],[churned_customers]]</f>
        <v>9585.7199999999993</v>
      </c>
    </row>
    <row r="37" spans="1:11" x14ac:dyDescent="0.3">
      <c r="A37" s="1">
        <v>45627</v>
      </c>
      <c r="B37">
        <v>240</v>
      </c>
      <c r="C37">
        <v>15</v>
      </c>
      <c r="D37">
        <v>9</v>
      </c>
      <c r="E37">
        <v>3.75</v>
      </c>
      <c r="F37">
        <f>monthly_revenue[[#This Row],[monthly_churn_rate_pct]]/100</f>
        <v>3.7499999999999999E-2</v>
      </c>
      <c r="G37">
        <v>260856.24</v>
      </c>
      <c r="H37">
        <v>1086.9000000000001</v>
      </c>
      <c r="I37">
        <v>238.17</v>
      </c>
      <c r="J37">
        <f>C36*monthly_revenue[[#This Row],[avg_revenue_per_customer]]</f>
        <v>13042.800000000001</v>
      </c>
      <c r="K37">
        <f>monthly_revenue[[#This Row],[avg_revenue_per_customer]]*monthly_revenue[[#This Row],[churned_customers]]</f>
        <v>9782.1</v>
      </c>
    </row>
    <row r="38" spans="1:11" x14ac:dyDescent="0.3">
      <c r="A38" s="1">
        <v>45658</v>
      </c>
      <c r="B38">
        <v>247</v>
      </c>
      <c r="C38">
        <v>13</v>
      </c>
      <c r="D38">
        <v>9</v>
      </c>
      <c r="E38">
        <v>3.64</v>
      </c>
      <c r="F38">
        <f>monthly_revenue[[#This Row],[monthly_churn_rate_pct]]/100</f>
        <v>3.6400000000000002E-2</v>
      </c>
      <c r="G38">
        <v>266142.93</v>
      </c>
      <c r="H38">
        <v>1077.5</v>
      </c>
      <c r="I38">
        <v>218.41</v>
      </c>
      <c r="J38">
        <f>C37*monthly_revenue[[#This Row],[avg_revenue_per_customer]]</f>
        <v>16162.5</v>
      </c>
      <c r="K38">
        <f>monthly_revenue[[#This Row],[avg_revenue_per_customer]]*monthly_revenue[[#This Row],[churned_customers]]</f>
        <v>9697.5</v>
      </c>
    </row>
    <row r="39" spans="1:11" x14ac:dyDescent="0.3">
      <c r="A39" s="1">
        <v>45689</v>
      </c>
      <c r="B39">
        <v>251</v>
      </c>
      <c r="C39">
        <v>15</v>
      </c>
      <c r="D39">
        <v>8</v>
      </c>
      <c r="E39">
        <v>3.19</v>
      </c>
      <c r="F39">
        <f>monthly_revenue[[#This Row],[monthly_churn_rate_pct]]/100</f>
        <v>3.1899999999999998E-2</v>
      </c>
      <c r="G39">
        <v>274162.53999999998</v>
      </c>
      <c r="H39">
        <v>1092.28</v>
      </c>
      <c r="I39">
        <v>164.96</v>
      </c>
      <c r="J39">
        <f>C38*monthly_revenue[[#This Row],[avg_revenue_per_customer]]</f>
        <v>14199.64</v>
      </c>
      <c r="K39">
        <f>monthly_revenue[[#This Row],[avg_revenue_per_customer]]*monthly_revenue[[#This Row],[churned_customers]]</f>
        <v>8738.24</v>
      </c>
    </row>
    <row r="40" spans="1:11" x14ac:dyDescent="0.3">
      <c r="A40" s="1">
        <v>45717</v>
      </c>
      <c r="B40">
        <v>257</v>
      </c>
      <c r="C40">
        <v>18</v>
      </c>
      <c r="D40">
        <v>7</v>
      </c>
      <c r="E40">
        <v>2.72</v>
      </c>
      <c r="F40">
        <f>monthly_revenue[[#This Row],[monthly_churn_rate_pct]]/100</f>
        <v>2.7200000000000002E-2</v>
      </c>
      <c r="G40">
        <v>280928.08</v>
      </c>
      <c r="H40">
        <v>1093.1099999999999</v>
      </c>
      <c r="I40">
        <v>138.82</v>
      </c>
      <c r="J40">
        <f>C39*monthly_revenue[[#This Row],[avg_revenue_per_customer]]</f>
        <v>16396.649999999998</v>
      </c>
      <c r="K40">
        <f>monthly_revenue[[#This Row],[avg_revenue_per_customer]]*monthly_revenue[[#This Row],[churned_customers]]</f>
        <v>7651.7699999999995</v>
      </c>
    </row>
    <row r="41" spans="1:11" x14ac:dyDescent="0.3">
      <c r="A41" s="1">
        <v>45748</v>
      </c>
      <c r="B41">
        <v>270</v>
      </c>
      <c r="C41">
        <v>13</v>
      </c>
      <c r="D41">
        <v>17</v>
      </c>
      <c r="E41">
        <v>6.3</v>
      </c>
      <c r="F41">
        <f>monthly_revenue[[#This Row],[monthly_churn_rate_pct]]/100</f>
        <v>6.3E-2</v>
      </c>
      <c r="G41">
        <v>287791.15000000002</v>
      </c>
      <c r="H41">
        <v>1065.8900000000001</v>
      </c>
      <c r="I41">
        <v>144.11000000000001</v>
      </c>
      <c r="J41">
        <f>C40*monthly_revenue[[#This Row],[avg_revenue_per_customer]]</f>
        <v>19186.02</v>
      </c>
      <c r="K41">
        <f>monthly_revenue[[#This Row],[avg_revenue_per_customer]]*monthly_revenue[[#This Row],[churned_customers]]</f>
        <v>18120.13</v>
      </c>
    </row>
    <row r="42" spans="1:11" x14ac:dyDescent="0.3">
      <c r="A42" s="1">
        <v>45778</v>
      </c>
      <c r="B42">
        <v>264</v>
      </c>
      <c r="C42">
        <v>12</v>
      </c>
      <c r="D42">
        <v>15</v>
      </c>
      <c r="E42">
        <v>5.68</v>
      </c>
      <c r="F42">
        <f>monthly_revenue[[#This Row],[monthly_churn_rate_pct]]/100</f>
        <v>5.6799999999999996E-2</v>
      </c>
      <c r="G42">
        <v>287207.82</v>
      </c>
      <c r="H42">
        <v>1087.9100000000001</v>
      </c>
      <c r="I42">
        <v>149.54</v>
      </c>
      <c r="J42">
        <f>C41*monthly_revenue[[#This Row],[avg_revenue_per_customer]]</f>
        <v>14142.830000000002</v>
      </c>
      <c r="K42">
        <f>monthly_revenue[[#This Row],[avg_revenue_per_customer]]*monthly_revenue[[#This Row],[churned_customers]]</f>
        <v>16318.650000000001</v>
      </c>
    </row>
    <row r="43" spans="1:11" x14ac:dyDescent="0.3">
      <c r="A43" s="1">
        <v>45809</v>
      </c>
      <c r="B43">
        <v>261</v>
      </c>
      <c r="C43">
        <v>15</v>
      </c>
      <c r="D43">
        <v>11</v>
      </c>
      <c r="E43">
        <v>4.21</v>
      </c>
      <c r="F43">
        <f>monthly_revenue[[#This Row],[monthly_churn_rate_pct]]/100</f>
        <v>4.2099999999999999E-2</v>
      </c>
      <c r="G43">
        <v>280683.13</v>
      </c>
      <c r="H43">
        <v>1075.4100000000001</v>
      </c>
      <c r="I43">
        <v>238.11</v>
      </c>
      <c r="J43">
        <f>C42*monthly_revenue[[#This Row],[avg_revenue_per_customer]]</f>
        <v>12904.920000000002</v>
      </c>
      <c r="K43">
        <f>monthly_revenue[[#This Row],[avg_revenue_per_customer]]*monthly_revenue[[#This Row],[churned_customers]]</f>
        <v>11829.51</v>
      </c>
    </row>
    <row r="44" spans="1:11" x14ac:dyDescent="0.3">
      <c r="A44" s="1">
        <v>45839</v>
      </c>
      <c r="B44">
        <v>265</v>
      </c>
      <c r="C44">
        <v>9</v>
      </c>
      <c r="D44">
        <v>9</v>
      </c>
      <c r="E44">
        <v>3.4</v>
      </c>
      <c r="F44">
        <f>monthly_revenue[[#This Row],[monthly_churn_rate_pct]]/100</f>
        <v>3.4000000000000002E-2</v>
      </c>
      <c r="G44">
        <v>287661.73</v>
      </c>
      <c r="H44">
        <v>1085.52</v>
      </c>
      <c r="I44">
        <v>150.51</v>
      </c>
      <c r="J44">
        <f>C43*monthly_revenue[[#This Row],[avg_revenue_per_customer]]</f>
        <v>16282.8</v>
      </c>
      <c r="K44">
        <f>monthly_revenue[[#This Row],[avg_revenue_per_customer]]*monthly_revenue[[#This Row],[churned_customers]]</f>
        <v>9769.68</v>
      </c>
    </row>
    <row r="45" spans="1:11" x14ac:dyDescent="0.3">
      <c r="A45" s="1">
        <v>45870</v>
      </c>
      <c r="B45">
        <v>265</v>
      </c>
      <c r="C45">
        <v>7</v>
      </c>
      <c r="D45">
        <v>7</v>
      </c>
      <c r="E45">
        <v>2.64</v>
      </c>
      <c r="F45">
        <f>monthly_revenue[[#This Row],[monthly_churn_rate_pct]]/100</f>
        <v>2.64E-2</v>
      </c>
      <c r="G45">
        <v>287743</v>
      </c>
      <c r="H45">
        <v>1085.82</v>
      </c>
      <c r="I45">
        <v>129.38</v>
      </c>
      <c r="J45">
        <f>C44*monthly_revenue[[#This Row],[avg_revenue_per_customer]]</f>
        <v>9772.3799999999992</v>
      </c>
      <c r="K45">
        <f>monthly_revenue[[#This Row],[avg_revenue_per_customer]]*monthly_revenue[[#This Row],[churned_customers]]</f>
        <v>7600.74</v>
      </c>
    </row>
    <row r="46" spans="1:11" x14ac:dyDescent="0.3">
      <c r="A46" s="1">
        <v>45901</v>
      </c>
      <c r="B46">
        <v>265</v>
      </c>
      <c r="C46">
        <v>13</v>
      </c>
      <c r="D46">
        <v>9</v>
      </c>
      <c r="E46">
        <v>3.4</v>
      </c>
      <c r="F46">
        <f>monthly_revenue[[#This Row],[monthly_churn_rate_pct]]/100</f>
        <v>3.4000000000000002E-2</v>
      </c>
      <c r="G46">
        <v>290824.44</v>
      </c>
      <c r="H46">
        <v>1097.45</v>
      </c>
      <c r="I46">
        <v>182.15</v>
      </c>
      <c r="J46">
        <f>C45*monthly_revenue[[#This Row],[avg_revenue_per_customer]]</f>
        <v>7682.1500000000005</v>
      </c>
      <c r="K46">
        <f>monthly_revenue[[#This Row],[avg_revenue_per_customer]]*monthly_revenue[[#This Row],[churned_customers]]</f>
        <v>9877.0500000000011</v>
      </c>
    </row>
    <row r="47" spans="1:11" x14ac:dyDescent="0.3">
      <c r="A47" s="1">
        <v>45931</v>
      </c>
      <c r="B47">
        <v>269</v>
      </c>
      <c r="C47">
        <v>18</v>
      </c>
      <c r="D47">
        <v>9</v>
      </c>
      <c r="E47">
        <v>3.35</v>
      </c>
      <c r="F47">
        <f>monthly_revenue[[#This Row],[monthly_churn_rate_pct]]/100</f>
        <v>3.3500000000000002E-2</v>
      </c>
      <c r="G47">
        <v>280089.15000000002</v>
      </c>
      <c r="H47">
        <v>1041.22</v>
      </c>
      <c r="I47">
        <v>250.08</v>
      </c>
      <c r="J47">
        <f>C46*monthly_revenue[[#This Row],[avg_revenue_per_customer]]</f>
        <v>13535.86</v>
      </c>
      <c r="K47">
        <f>monthly_revenue[[#This Row],[avg_revenue_per_customer]]*monthly_revenue[[#This Row],[churned_customers]]</f>
        <v>9370.98</v>
      </c>
    </row>
    <row r="48" spans="1:11" x14ac:dyDescent="0.3">
      <c r="A48" s="1">
        <v>45962</v>
      </c>
      <c r="B48">
        <v>278</v>
      </c>
      <c r="C48">
        <v>11</v>
      </c>
      <c r="D48">
        <v>9</v>
      </c>
      <c r="E48">
        <v>3.24</v>
      </c>
      <c r="F48">
        <f>monthly_revenue[[#This Row],[monthly_churn_rate_pct]]/100</f>
        <v>3.2400000000000005E-2</v>
      </c>
      <c r="G48">
        <v>285261.36</v>
      </c>
      <c r="H48">
        <v>1026.1199999999999</v>
      </c>
      <c r="I48">
        <v>254.4</v>
      </c>
      <c r="J48">
        <f>C47*monthly_revenue[[#This Row],[avg_revenue_per_customer]]</f>
        <v>18470.159999999996</v>
      </c>
      <c r="K48">
        <f>monthly_revenue[[#This Row],[avg_revenue_per_customer]]*monthly_revenue[[#This Row],[churned_customers]]</f>
        <v>9235.0799999999981</v>
      </c>
    </row>
    <row r="49" spans="1:11" x14ac:dyDescent="0.3">
      <c r="A49" s="1">
        <v>45992</v>
      </c>
      <c r="B49">
        <v>281</v>
      </c>
      <c r="C49">
        <v>11</v>
      </c>
      <c r="D49">
        <v>4</v>
      </c>
      <c r="E49">
        <v>1.42</v>
      </c>
      <c r="F49">
        <f>monthly_revenue[[#This Row],[monthly_churn_rate_pct]]/100</f>
        <v>1.4199999999999999E-2</v>
      </c>
      <c r="G49">
        <v>292628.61</v>
      </c>
      <c r="H49">
        <v>1041.3800000000001</v>
      </c>
      <c r="I49">
        <v>151.47</v>
      </c>
      <c r="J49">
        <f>C48*monthly_revenue[[#This Row],[avg_revenue_per_customer]]</f>
        <v>11455.18</v>
      </c>
      <c r="K49">
        <f>monthly_revenue[[#This Row],[avg_revenue_per_customer]]*monthly_revenue[[#This Row],[churned_customers]]</f>
        <v>4165.5200000000004</v>
      </c>
    </row>
  </sheetData>
  <pageMargins left="0.7" right="0.7" top="0.75" bottom="0.75" header="0.3" footer="0.3"/>
  <ignoredErrors>
    <ignoredError sqref="J2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3A69-9789-43D4-85C3-BCCC057AE375}">
  <dimension ref="A3:I61"/>
  <sheetViews>
    <sheetView workbookViewId="0">
      <selection activeCell="I11" sqref="I11"/>
    </sheetView>
  </sheetViews>
  <sheetFormatPr defaultRowHeight="14.4" x14ac:dyDescent="0.3"/>
  <cols>
    <col min="1" max="1" width="12.44140625" bestFit="1" customWidth="1"/>
    <col min="2" max="2" width="14.77734375" bestFit="1" customWidth="1"/>
    <col min="3" max="3" width="15.77734375" bestFit="1" customWidth="1"/>
    <col min="4" max="4" width="18.21875" bestFit="1" customWidth="1"/>
    <col min="5" max="5" width="15.77734375" bestFit="1" customWidth="1"/>
    <col min="6" max="6" width="18.21875" bestFit="1" customWidth="1"/>
    <col min="7" max="7" width="19.21875" bestFit="1" customWidth="1"/>
    <col min="8" max="8" width="14.33203125" bestFit="1" customWidth="1"/>
    <col min="9" max="9" width="15.33203125" bestFit="1" customWidth="1"/>
  </cols>
  <sheetData>
    <row r="3" spans="1:9" x14ac:dyDescent="0.3">
      <c r="A3" s="2" t="s">
        <v>668</v>
      </c>
      <c r="B3" t="s">
        <v>703</v>
      </c>
      <c r="C3" t="s">
        <v>707</v>
      </c>
      <c r="D3" t="s">
        <v>704</v>
      </c>
      <c r="E3" t="s">
        <v>708</v>
      </c>
      <c r="F3" t="s">
        <v>705</v>
      </c>
      <c r="G3" t="s">
        <v>709</v>
      </c>
      <c r="H3" t="s">
        <v>706</v>
      </c>
      <c r="I3" t="s">
        <v>710</v>
      </c>
    </row>
    <row r="4" spans="1:9" x14ac:dyDescent="0.3">
      <c r="A4" s="4" t="s">
        <v>678</v>
      </c>
      <c r="B4" s="9">
        <v>552973.86</v>
      </c>
      <c r="C4" s="8"/>
      <c r="D4" s="9">
        <v>125855.01</v>
      </c>
      <c r="E4" s="8"/>
      <c r="F4" s="9">
        <v>35406.660000000003</v>
      </c>
      <c r="G4" s="8"/>
      <c r="H4" s="9">
        <v>90448.349999999991</v>
      </c>
      <c r="I4" s="8"/>
    </row>
    <row r="5" spans="1:9" x14ac:dyDescent="0.3">
      <c r="A5" s="4" t="s">
        <v>679</v>
      </c>
      <c r="B5" s="9">
        <v>1774192.8200000003</v>
      </c>
      <c r="C5" s="8">
        <v>2.2084569422503995</v>
      </c>
      <c r="D5" s="9">
        <v>158816.07000000004</v>
      </c>
      <c r="E5" s="8">
        <v>0.26189708300051023</v>
      </c>
      <c r="F5" s="9">
        <v>73494.09</v>
      </c>
      <c r="G5" s="8">
        <v>1.075713721655756</v>
      </c>
      <c r="H5" s="9">
        <v>85321.98000000004</v>
      </c>
      <c r="I5" s="8">
        <v>-5.6677319155075269E-2</v>
      </c>
    </row>
    <row r="6" spans="1:9" x14ac:dyDescent="0.3">
      <c r="A6" s="4" t="s">
        <v>680</v>
      </c>
      <c r="B6" s="9">
        <v>2666353.2500000009</v>
      </c>
      <c r="C6" s="8">
        <v>0.50285426698998847</v>
      </c>
      <c r="D6" s="9">
        <v>150523.99</v>
      </c>
      <c r="E6" s="8">
        <v>-5.2211844808904055E-2</v>
      </c>
      <c r="F6" s="9">
        <v>94658.33</v>
      </c>
      <c r="G6" s="8">
        <v>0.28797199883691338</v>
      </c>
      <c r="H6" s="9">
        <v>55865.659999999989</v>
      </c>
      <c r="I6" s="8">
        <v>-0.34523718272829623</v>
      </c>
    </row>
    <row r="7" spans="1:9" x14ac:dyDescent="0.3">
      <c r="A7" s="4" t="s">
        <v>681</v>
      </c>
      <c r="B7" s="9">
        <v>3401123.94</v>
      </c>
      <c r="C7" s="8">
        <v>0.27557139700075328</v>
      </c>
      <c r="D7" s="9">
        <v>170191.09</v>
      </c>
      <c r="E7" s="8">
        <v>0.13065757823719665</v>
      </c>
      <c r="F7" s="9">
        <v>122374.85000000002</v>
      </c>
      <c r="G7" s="8">
        <v>0.29280592632470925</v>
      </c>
      <c r="H7" s="9">
        <v>47816.239999999976</v>
      </c>
      <c r="I7" s="8">
        <v>-0.14408529318368413</v>
      </c>
    </row>
    <row r="8" spans="1:9" x14ac:dyDescent="0.3">
      <c r="A8" s="4" t="s">
        <v>669</v>
      </c>
      <c r="B8" s="9">
        <v>8394643.870000001</v>
      </c>
      <c r="C8" s="8"/>
      <c r="D8" s="9">
        <v>605386.16</v>
      </c>
      <c r="E8" s="8"/>
      <c r="F8" s="9">
        <v>325933.93000000005</v>
      </c>
      <c r="G8" s="8"/>
      <c r="H8" s="9">
        <v>279452.23000000027</v>
      </c>
      <c r="I8" s="8"/>
    </row>
    <row r="10" spans="1:9" x14ac:dyDescent="0.3">
      <c r="C10" s="8">
        <f>AVERAGE(C5:C7)</f>
        <v>0.99562753541371374</v>
      </c>
      <c r="I10" s="8">
        <f>AVERAGE(I5:I7)</f>
        <v>-0.18199993168901854</v>
      </c>
    </row>
    <row r="12" spans="1:9" x14ac:dyDescent="0.3">
      <c r="A12" s="2" t="s">
        <v>668</v>
      </c>
      <c r="B12" t="s">
        <v>703</v>
      </c>
      <c r="C12" t="s">
        <v>704</v>
      </c>
      <c r="D12" t="s">
        <v>705</v>
      </c>
    </row>
    <row r="13" spans="1:9" x14ac:dyDescent="0.3">
      <c r="A13" s="3">
        <v>44562</v>
      </c>
      <c r="B13">
        <v>0</v>
      </c>
      <c r="C13">
        <v>0</v>
      </c>
      <c r="D13">
        <v>0</v>
      </c>
    </row>
    <row r="14" spans="1:9" x14ac:dyDescent="0.3">
      <c r="A14" s="3">
        <v>44593</v>
      </c>
      <c r="B14">
        <v>7333.07</v>
      </c>
      <c r="C14">
        <v>7333.0499999999993</v>
      </c>
      <c r="D14">
        <v>1466.61</v>
      </c>
    </row>
    <row r="15" spans="1:9" x14ac:dyDescent="0.3">
      <c r="A15" s="3">
        <v>44621</v>
      </c>
      <c r="B15">
        <v>12301.16</v>
      </c>
      <c r="C15">
        <v>8786.5</v>
      </c>
      <c r="D15">
        <v>0</v>
      </c>
    </row>
    <row r="16" spans="1:9" x14ac:dyDescent="0.3">
      <c r="A16" s="3">
        <v>44652</v>
      </c>
      <c r="B16">
        <v>24798.76</v>
      </c>
      <c r="C16">
        <v>11513.71</v>
      </c>
      <c r="D16">
        <v>2657.0099999999998</v>
      </c>
    </row>
    <row r="17" spans="1:4" x14ac:dyDescent="0.3">
      <c r="A17" s="3">
        <v>44682</v>
      </c>
      <c r="B17">
        <v>29091.88</v>
      </c>
      <c r="C17">
        <v>9143.2000000000007</v>
      </c>
      <c r="D17">
        <v>831.2</v>
      </c>
    </row>
    <row r="18" spans="1:4" x14ac:dyDescent="0.3">
      <c r="A18" s="3">
        <v>44713</v>
      </c>
      <c r="B18">
        <v>38919.93</v>
      </c>
      <c r="C18">
        <v>9306.99</v>
      </c>
      <c r="D18">
        <v>1692.18</v>
      </c>
    </row>
    <row r="19" spans="1:4" x14ac:dyDescent="0.3">
      <c r="A19" s="3">
        <v>44743</v>
      </c>
      <c r="B19">
        <v>45097.72</v>
      </c>
      <c r="C19">
        <v>8509</v>
      </c>
      <c r="D19">
        <v>5105.3999999999996</v>
      </c>
    </row>
    <row r="20" spans="1:4" x14ac:dyDescent="0.3">
      <c r="A20" s="3">
        <v>44774</v>
      </c>
      <c r="B20">
        <v>54140.41</v>
      </c>
      <c r="C20">
        <v>7598.64</v>
      </c>
      <c r="D20">
        <v>5698.9800000000005</v>
      </c>
    </row>
    <row r="21" spans="1:4" x14ac:dyDescent="0.3">
      <c r="A21" s="3">
        <v>44805</v>
      </c>
      <c r="B21">
        <v>65198</v>
      </c>
      <c r="C21">
        <v>17515.8</v>
      </c>
      <c r="D21">
        <v>4865.5</v>
      </c>
    </row>
    <row r="22" spans="1:4" x14ac:dyDescent="0.3">
      <c r="A22" s="3">
        <v>44835</v>
      </c>
      <c r="B22">
        <v>86824.16</v>
      </c>
      <c r="C22">
        <v>14851.460000000001</v>
      </c>
      <c r="D22">
        <v>5712.1</v>
      </c>
    </row>
    <row r="23" spans="1:4" x14ac:dyDescent="0.3">
      <c r="A23" s="3">
        <v>44866</v>
      </c>
      <c r="B23">
        <v>93168.11</v>
      </c>
      <c r="C23">
        <v>17134.400000000001</v>
      </c>
      <c r="D23">
        <v>5354.5</v>
      </c>
    </row>
    <row r="24" spans="1:4" x14ac:dyDescent="0.3">
      <c r="A24" s="3">
        <v>44896</v>
      </c>
      <c r="B24">
        <v>96100.66</v>
      </c>
      <c r="C24">
        <v>14162.26</v>
      </c>
      <c r="D24">
        <v>2023.18</v>
      </c>
    </row>
    <row r="25" spans="1:4" x14ac:dyDescent="0.3">
      <c r="A25" s="3">
        <v>44927</v>
      </c>
      <c r="B25">
        <v>104773.35</v>
      </c>
      <c r="C25">
        <v>13708.66</v>
      </c>
      <c r="D25">
        <v>3916.76</v>
      </c>
    </row>
    <row r="26" spans="1:4" x14ac:dyDescent="0.3">
      <c r="A26" s="3">
        <v>44958</v>
      </c>
      <c r="B26">
        <v>115539.13</v>
      </c>
      <c r="C26">
        <v>12056.28</v>
      </c>
      <c r="D26">
        <v>3014.07</v>
      </c>
    </row>
    <row r="27" spans="1:4" x14ac:dyDescent="0.3">
      <c r="A27" s="3">
        <v>44986</v>
      </c>
      <c r="B27">
        <v>125258.61</v>
      </c>
      <c r="C27">
        <v>10183.6</v>
      </c>
      <c r="D27">
        <v>2036.72</v>
      </c>
    </row>
    <row r="28" spans="1:4" x14ac:dyDescent="0.3">
      <c r="A28" s="3">
        <v>45017</v>
      </c>
      <c r="B28">
        <v>129471.28</v>
      </c>
      <c r="C28">
        <v>5178.8500000000004</v>
      </c>
      <c r="D28">
        <v>8286.16</v>
      </c>
    </row>
    <row r="29" spans="1:4" x14ac:dyDescent="0.3">
      <c r="A29" s="3">
        <v>45047</v>
      </c>
      <c r="B29">
        <v>142401.69</v>
      </c>
      <c r="C29">
        <v>14989.66</v>
      </c>
      <c r="D29">
        <v>4282.76</v>
      </c>
    </row>
    <row r="30" spans="1:4" x14ac:dyDescent="0.3">
      <c r="A30" s="3">
        <v>45078</v>
      </c>
      <c r="B30">
        <v>142966.32</v>
      </c>
      <c r="C30">
        <v>13275.470000000001</v>
      </c>
      <c r="D30">
        <v>10211.900000000001</v>
      </c>
    </row>
    <row r="31" spans="1:4" x14ac:dyDescent="0.3">
      <c r="A31" s="3">
        <v>45108</v>
      </c>
      <c r="B31">
        <v>147630.35999999999</v>
      </c>
      <c r="C31">
        <v>15272.1</v>
      </c>
      <c r="D31">
        <v>7126.98</v>
      </c>
    </row>
    <row r="32" spans="1:4" x14ac:dyDescent="0.3">
      <c r="A32" s="3">
        <v>45139</v>
      </c>
      <c r="B32">
        <v>158920.70000000001</v>
      </c>
      <c r="C32">
        <v>19232.37</v>
      </c>
      <c r="D32">
        <v>7085.6100000000006</v>
      </c>
    </row>
    <row r="33" spans="1:4" x14ac:dyDescent="0.3">
      <c r="A33" s="3">
        <v>45170</v>
      </c>
      <c r="B33">
        <v>162830.01999999999</v>
      </c>
      <c r="C33">
        <v>10176.900000000001</v>
      </c>
      <c r="D33">
        <v>7123.83</v>
      </c>
    </row>
    <row r="34" spans="1:4" x14ac:dyDescent="0.3">
      <c r="A34" s="3">
        <v>45200</v>
      </c>
      <c r="B34">
        <v>170763.72</v>
      </c>
      <c r="C34">
        <v>17076.330000000002</v>
      </c>
      <c r="D34">
        <v>5022.45</v>
      </c>
    </row>
    <row r="35" spans="1:4" x14ac:dyDescent="0.3">
      <c r="A35" s="3">
        <v>45231</v>
      </c>
      <c r="B35">
        <v>184058.29</v>
      </c>
      <c r="C35">
        <v>16270.4</v>
      </c>
      <c r="D35">
        <v>8135.2</v>
      </c>
    </row>
    <row r="36" spans="1:4" x14ac:dyDescent="0.3">
      <c r="A36" s="3">
        <v>45261</v>
      </c>
      <c r="B36">
        <v>189579.35</v>
      </c>
      <c r="C36">
        <v>11395.45</v>
      </c>
      <c r="D36">
        <v>7251.6500000000005</v>
      </c>
    </row>
    <row r="37" spans="1:4" x14ac:dyDescent="0.3">
      <c r="A37" s="3">
        <v>45292</v>
      </c>
      <c r="B37">
        <v>191783.54</v>
      </c>
      <c r="C37">
        <v>9279.81</v>
      </c>
      <c r="D37">
        <v>7217.6299999999992</v>
      </c>
    </row>
    <row r="38" spans="1:4" x14ac:dyDescent="0.3">
      <c r="A38" s="3">
        <v>45323</v>
      </c>
      <c r="B38">
        <v>192379.41</v>
      </c>
      <c r="C38">
        <v>10232.9</v>
      </c>
      <c r="D38">
        <v>8186.32</v>
      </c>
    </row>
    <row r="39" spans="1:4" x14ac:dyDescent="0.3">
      <c r="A39" s="3">
        <v>45352</v>
      </c>
      <c r="B39">
        <v>196219.33</v>
      </c>
      <c r="C39">
        <v>7267.4000000000005</v>
      </c>
      <c r="D39">
        <v>4152.8</v>
      </c>
    </row>
    <row r="40" spans="1:4" x14ac:dyDescent="0.3">
      <c r="A40" s="3">
        <v>45383</v>
      </c>
      <c r="B40">
        <v>200076.61</v>
      </c>
      <c r="C40">
        <v>18726.400000000001</v>
      </c>
      <c r="D40">
        <v>7884.8</v>
      </c>
    </row>
    <row r="41" spans="1:4" x14ac:dyDescent="0.3">
      <c r="A41" s="3">
        <v>45413</v>
      </c>
      <c r="B41">
        <v>217117.58</v>
      </c>
      <c r="C41">
        <v>11593.67</v>
      </c>
      <c r="D41">
        <v>8431.76</v>
      </c>
    </row>
    <row r="42" spans="1:4" x14ac:dyDescent="0.3">
      <c r="A42" s="3">
        <v>45444</v>
      </c>
      <c r="B42">
        <v>215810.52</v>
      </c>
      <c r="C42">
        <v>14184.66</v>
      </c>
      <c r="D42">
        <v>9118.7100000000009</v>
      </c>
    </row>
    <row r="43" spans="1:4" x14ac:dyDescent="0.3">
      <c r="A43" s="3">
        <v>45474</v>
      </c>
      <c r="B43">
        <v>222303.35999999999</v>
      </c>
      <c r="C43">
        <v>13379.34</v>
      </c>
      <c r="D43">
        <v>8233.44</v>
      </c>
    </row>
    <row r="44" spans="1:4" x14ac:dyDescent="0.3">
      <c r="A44" s="3">
        <v>45505</v>
      </c>
      <c r="B44">
        <v>242222.62</v>
      </c>
      <c r="C44">
        <v>15206.800000000001</v>
      </c>
      <c r="D44">
        <v>7603.4000000000005</v>
      </c>
    </row>
    <row r="45" spans="1:4" x14ac:dyDescent="0.3">
      <c r="A45" s="3">
        <v>45536</v>
      </c>
      <c r="B45">
        <v>234749.84</v>
      </c>
      <c r="C45">
        <v>12464.64</v>
      </c>
      <c r="D45">
        <v>7271.04</v>
      </c>
    </row>
    <row r="46" spans="1:4" x14ac:dyDescent="0.3">
      <c r="A46" s="3">
        <v>45566</v>
      </c>
      <c r="B46">
        <v>239344.73</v>
      </c>
      <c r="C46">
        <v>11299.53</v>
      </c>
      <c r="D46">
        <v>7190.6100000000006</v>
      </c>
    </row>
    <row r="47" spans="1:4" x14ac:dyDescent="0.3">
      <c r="A47" s="3">
        <v>45597</v>
      </c>
      <c r="B47">
        <v>253489.47</v>
      </c>
      <c r="C47">
        <v>13846.039999999999</v>
      </c>
      <c r="D47">
        <v>9585.7199999999993</v>
      </c>
    </row>
    <row r="48" spans="1:4" x14ac:dyDescent="0.3">
      <c r="A48" s="3">
        <v>45627</v>
      </c>
      <c r="B48">
        <v>260856.24</v>
      </c>
      <c r="C48">
        <v>13042.800000000001</v>
      </c>
      <c r="D48">
        <v>9782.1</v>
      </c>
    </row>
    <row r="49" spans="1:4" x14ac:dyDescent="0.3">
      <c r="A49" s="3">
        <v>45658</v>
      </c>
      <c r="B49">
        <v>266142.93</v>
      </c>
      <c r="C49">
        <v>16162.5</v>
      </c>
      <c r="D49">
        <v>9697.5</v>
      </c>
    </row>
    <row r="50" spans="1:4" x14ac:dyDescent="0.3">
      <c r="A50" s="3">
        <v>45689</v>
      </c>
      <c r="B50">
        <v>274162.53999999998</v>
      </c>
      <c r="C50">
        <v>14199.64</v>
      </c>
      <c r="D50">
        <v>8738.24</v>
      </c>
    </row>
    <row r="51" spans="1:4" x14ac:dyDescent="0.3">
      <c r="A51" s="3">
        <v>45717</v>
      </c>
      <c r="B51">
        <v>280928.08</v>
      </c>
      <c r="C51">
        <v>16396.649999999998</v>
      </c>
      <c r="D51">
        <v>7651.7699999999995</v>
      </c>
    </row>
    <row r="52" spans="1:4" x14ac:dyDescent="0.3">
      <c r="A52" s="3">
        <v>45748</v>
      </c>
      <c r="B52">
        <v>287791.15000000002</v>
      </c>
      <c r="C52">
        <v>19186.02</v>
      </c>
      <c r="D52">
        <v>18120.13</v>
      </c>
    </row>
    <row r="53" spans="1:4" x14ac:dyDescent="0.3">
      <c r="A53" s="3">
        <v>45778</v>
      </c>
      <c r="B53">
        <v>287207.82</v>
      </c>
      <c r="C53">
        <v>14142.830000000002</v>
      </c>
      <c r="D53">
        <v>16318.650000000001</v>
      </c>
    </row>
    <row r="54" spans="1:4" x14ac:dyDescent="0.3">
      <c r="A54" s="3">
        <v>45809</v>
      </c>
      <c r="B54">
        <v>280683.13</v>
      </c>
      <c r="C54">
        <v>12904.920000000002</v>
      </c>
      <c r="D54">
        <v>11829.51</v>
      </c>
    </row>
    <row r="55" spans="1:4" x14ac:dyDescent="0.3">
      <c r="A55" s="3">
        <v>45839</v>
      </c>
      <c r="B55">
        <v>287661.73</v>
      </c>
      <c r="C55">
        <v>16282.8</v>
      </c>
      <c r="D55">
        <v>9769.68</v>
      </c>
    </row>
    <row r="56" spans="1:4" x14ac:dyDescent="0.3">
      <c r="A56" s="3">
        <v>45870</v>
      </c>
      <c r="B56">
        <v>287743</v>
      </c>
      <c r="C56">
        <v>9772.3799999999992</v>
      </c>
      <c r="D56">
        <v>7600.74</v>
      </c>
    </row>
    <row r="57" spans="1:4" x14ac:dyDescent="0.3">
      <c r="A57" s="3">
        <v>45901</v>
      </c>
      <c r="B57">
        <v>290824.44</v>
      </c>
      <c r="C57">
        <v>7682.1500000000005</v>
      </c>
      <c r="D57">
        <v>9877.0500000000011</v>
      </c>
    </row>
    <row r="58" spans="1:4" x14ac:dyDescent="0.3">
      <c r="A58" s="3">
        <v>45931</v>
      </c>
      <c r="B58">
        <v>280089.15000000002</v>
      </c>
      <c r="C58">
        <v>13535.86</v>
      </c>
      <c r="D58">
        <v>9370.98</v>
      </c>
    </row>
    <row r="59" spans="1:4" x14ac:dyDescent="0.3">
      <c r="A59" s="3">
        <v>45962</v>
      </c>
      <c r="B59">
        <v>285261.36</v>
      </c>
      <c r="C59">
        <v>18470.159999999996</v>
      </c>
      <c r="D59">
        <v>9235.0799999999981</v>
      </c>
    </row>
    <row r="60" spans="1:4" x14ac:dyDescent="0.3">
      <c r="A60" s="3">
        <v>45992</v>
      </c>
      <c r="B60">
        <v>292628.61</v>
      </c>
      <c r="C60">
        <v>11455.18</v>
      </c>
      <c r="D60">
        <v>4165.5200000000004</v>
      </c>
    </row>
    <row r="61" spans="1:4" x14ac:dyDescent="0.3">
      <c r="A61" s="3" t="s">
        <v>669</v>
      </c>
      <c r="B61">
        <v>8394643.870000001</v>
      </c>
      <c r="C61">
        <v>605386.16000000027</v>
      </c>
      <c r="D61">
        <v>325933.93</v>
      </c>
    </row>
  </sheetData>
  <conditionalFormatting pivot="1" sqref="B13:B6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13:C6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13:D6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88D9-874F-4D62-B3ED-36F717840803}">
  <dimension ref="A3:O56"/>
  <sheetViews>
    <sheetView topLeftCell="A37" workbookViewId="0">
      <selection activeCell="M42" sqref="M42"/>
    </sheetView>
  </sheetViews>
  <sheetFormatPr defaultRowHeight="14.4" x14ac:dyDescent="0.3"/>
  <cols>
    <col min="1" max="1" width="12.44140625" bestFit="1" customWidth="1"/>
    <col min="2" max="2" width="30.21875" bestFit="1" customWidth="1"/>
    <col min="7" max="7" width="12.44140625" bestFit="1" customWidth="1"/>
    <col min="8" max="8" width="23.6640625" bestFit="1" customWidth="1"/>
    <col min="9" max="9" width="24.6640625" bestFit="1" customWidth="1"/>
    <col min="10" max="10" width="20.109375" bestFit="1" customWidth="1"/>
    <col min="11" max="11" width="21.109375" bestFit="1" customWidth="1"/>
    <col min="12" max="12" width="22.6640625" customWidth="1"/>
    <col min="13" max="13" width="12.44140625" bestFit="1" customWidth="1"/>
    <col min="14" max="14" width="23.6640625" bestFit="1" customWidth="1"/>
    <col min="15" max="15" width="24.6640625" bestFit="1" customWidth="1"/>
  </cols>
  <sheetData>
    <row r="3" spans="1:15" x14ac:dyDescent="0.3">
      <c r="A3" s="2" t="s">
        <v>668</v>
      </c>
      <c r="B3" t="s">
        <v>695</v>
      </c>
      <c r="G3" s="2" t="s">
        <v>668</v>
      </c>
      <c r="H3" t="s">
        <v>696</v>
      </c>
      <c r="I3" t="s">
        <v>699</v>
      </c>
      <c r="J3" t="s">
        <v>697</v>
      </c>
      <c r="K3" t="s">
        <v>700</v>
      </c>
      <c r="M3" s="2" t="s">
        <v>668</v>
      </c>
      <c r="N3" t="s">
        <v>696</v>
      </c>
      <c r="O3" t="s">
        <v>699</v>
      </c>
    </row>
    <row r="4" spans="1:15" x14ac:dyDescent="0.3">
      <c r="A4" s="4" t="s">
        <v>678</v>
      </c>
      <c r="B4" s="5">
        <v>6.8058333333333332</v>
      </c>
      <c r="G4" s="3">
        <v>44562</v>
      </c>
      <c r="H4" s="5">
        <v>0</v>
      </c>
      <c r="I4" s="8"/>
      <c r="J4" s="5">
        <v>5</v>
      </c>
      <c r="K4" s="8"/>
      <c r="L4" s="5"/>
      <c r="M4" s="4" t="s">
        <v>678</v>
      </c>
      <c r="N4" s="5">
        <v>36</v>
      </c>
      <c r="O4" s="8"/>
    </row>
    <row r="5" spans="1:15" x14ac:dyDescent="0.3">
      <c r="A5" s="4" t="s">
        <v>679</v>
      </c>
      <c r="B5" s="5">
        <v>4.1158333333333337</v>
      </c>
      <c r="G5" s="3">
        <v>44593</v>
      </c>
      <c r="H5" s="5">
        <v>1</v>
      </c>
      <c r="I5" s="8" t="e">
        <v>#DIV/0!</v>
      </c>
      <c r="J5" s="5">
        <v>10</v>
      </c>
      <c r="K5" s="8">
        <v>1</v>
      </c>
      <c r="L5" s="5"/>
      <c r="M5" s="4" t="s">
        <v>679</v>
      </c>
      <c r="N5" s="5">
        <v>72</v>
      </c>
      <c r="O5" s="8">
        <v>1</v>
      </c>
    </row>
    <row r="6" spans="1:15" x14ac:dyDescent="0.3">
      <c r="A6" s="4" t="s">
        <v>680</v>
      </c>
      <c r="B6" s="5">
        <v>3.5550000000000002</v>
      </c>
      <c r="G6" s="3">
        <v>44621</v>
      </c>
      <c r="H6" s="5">
        <v>0</v>
      </c>
      <c r="I6" s="8">
        <v>-1</v>
      </c>
      <c r="J6" s="5">
        <v>13</v>
      </c>
      <c r="K6" s="8">
        <v>0.3</v>
      </c>
      <c r="L6" s="5"/>
      <c r="M6" s="4" t="s">
        <v>680</v>
      </c>
      <c r="N6" s="5">
        <v>91</v>
      </c>
      <c r="O6" s="8">
        <v>0.2638888888888889</v>
      </c>
    </row>
    <row r="7" spans="1:15" x14ac:dyDescent="0.3">
      <c r="A7" s="4" t="s">
        <v>681</v>
      </c>
      <c r="B7" s="5">
        <v>3.5991666666666671</v>
      </c>
      <c r="G7" s="3">
        <v>44652</v>
      </c>
      <c r="H7" s="5">
        <v>3</v>
      </c>
      <c r="I7" s="8" t="e">
        <v>#DIV/0!</v>
      </c>
      <c r="J7" s="5">
        <v>11</v>
      </c>
      <c r="K7" s="8">
        <v>-0.15384615384615385</v>
      </c>
      <c r="L7" s="5"/>
      <c r="M7" s="4" t="s">
        <v>681</v>
      </c>
      <c r="N7" s="5">
        <v>114</v>
      </c>
      <c r="O7" s="8">
        <v>0.25274725274725274</v>
      </c>
    </row>
    <row r="8" spans="1:15" x14ac:dyDescent="0.3">
      <c r="A8" s="4" t="s">
        <v>669</v>
      </c>
      <c r="B8" s="5">
        <v>4.5189583333333321</v>
      </c>
      <c r="G8" s="3">
        <v>44682</v>
      </c>
      <c r="H8" s="5">
        <v>1</v>
      </c>
      <c r="I8" s="8">
        <v>-0.66666666666666663</v>
      </c>
      <c r="J8" s="5">
        <v>11</v>
      </c>
      <c r="K8" s="8">
        <v>0</v>
      </c>
      <c r="L8" s="5"/>
      <c r="M8" s="4" t="s">
        <v>669</v>
      </c>
      <c r="N8" s="5">
        <v>313</v>
      </c>
      <c r="O8" s="8"/>
    </row>
    <row r="9" spans="1:15" x14ac:dyDescent="0.3">
      <c r="G9" s="3">
        <v>44713</v>
      </c>
      <c r="H9" s="5">
        <v>2</v>
      </c>
      <c r="I9" s="8">
        <v>1</v>
      </c>
      <c r="J9" s="5">
        <v>10</v>
      </c>
      <c r="K9" s="8">
        <v>-9.0909090909090912E-2</v>
      </c>
      <c r="L9" s="5"/>
    </row>
    <row r="10" spans="1:15" x14ac:dyDescent="0.3">
      <c r="G10" s="3">
        <v>44743</v>
      </c>
      <c r="H10" s="5">
        <v>6</v>
      </c>
      <c r="I10" s="8">
        <v>2</v>
      </c>
      <c r="J10" s="5">
        <v>8</v>
      </c>
      <c r="K10" s="8">
        <v>-0.2</v>
      </c>
      <c r="L10" s="5"/>
    </row>
    <row r="11" spans="1:15" x14ac:dyDescent="0.3">
      <c r="G11" s="3">
        <v>44774</v>
      </c>
      <c r="H11" s="5">
        <v>6</v>
      </c>
      <c r="I11" s="8">
        <v>0</v>
      </c>
      <c r="J11" s="5">
        <v>18</v>
      </c>
      <c r="K11" s="8">
        <v>1.25</v>
      </c>
      <c r="L11" s="5"/>
    </row>
    <row r="12" spans="1:15" x14ac:dyDescent="0.3">
      <c r="G12" s="3">
        <v>44805</v>
      </c>
      <c r="H12" s="5">
        <v>5</v>
      </c>
      <c r="I12" s="8">
        <v>-0.16666666666666666</v>
      </c>
      <c r="J12" s="5">
        <v>13</v>
      </c>
      <c r="K12" s="8">
        <v>-0.27777777777777779</v>
      </c>
      <c r="L12" s="5"/>
    </row>
    <row r="13" spans="1:15" x14ac:dyDescent="0.3">
      <c r="G13" s="3">
        <v>44835</v>
      </c>
      <c r="H13" s="5">
        <v>5</v>
      </c>
      <c r="I13" s="8">
        <v>0</v>
      </c>
      <c r="J13" s="5">
        <v>16</v>
      </c>
      <c r="K13" s="8">
        <v>0.23076923076923078</v>
      </c>
      <c r="L13" s="5"/>
    </row>
    <row r="14" spans="1:15" x14ac:dyDescent="0.3">
      <c r="G14" s="3">
        <v>44866</v>
      </c>
      <c r="H14" s="5">
        <v>5</v>
      </c>
      <c r="I14" s="8">
        <v>0</v>
      </c>
      <c r="J14" s="5">
        <v>14</v>
      </c>
      <c r="K14" s="8">
        <v>-0.125</v>
      </c>
      <c r="L14" s="5"/>
    </row>
    <row r="15" spans="1:15" x14ac:dyDescent="0.3">
      <c r="G15" s="3">
        <v>44896</v>
      </c>
      <c r="H15" s="5">
        <v>2</v>
      </c>
      <c r="I15" s="8">
        <v>-0.6</v>
      </c>
      <c r="J15" s="5">
        <v>14</v>
      </c>
      <c r="K15" s="8">
        <v>0</v>
      </c>
      <c r="L15" s="5"/>
    </row>
    <row r="16" spans="1:15" x14ac:dyDescent="0.3">
      <c r="G16" s="3">
        <v>44927</v>
      </c>
      <c r="H16" s="5">
        <v>4</v>
      </c>
      <c r="I16" s="8">
        <v>1</v>
      </c>
      <c r="J16" s="5">
        <v>12</v>
      </c>
      <c r="K16" s="8">
        <v>-0.14285714285714285</v>
      </c>
      <c r="L16" s="5"/>
    </row>
    <row r="17" spans="7:12" x14ac:dyDescent="0.3">
      <c r="G17" s="3">
        <v>44958</v>
      </c>
      <c r="H17" s="5">
        <v>3</v>
      </c>
      <c r="I17" s="8">
        <v>-0.25</v>
      </c>
      <c r="J17" s="5">
        <v>10</v>
      </c>
      <c r="K17" s="8">
        <v>-0.16666666666666666</v>
      </c>
      <c r="L17" s="5"/>
    </row>
    <row r="18" spans="7:12" x14ac:dyDescent="0.3">
      <c r="G18" s="3">
        <v>44986</v>
      </c>
      <c r="H18" s="5">
        <v>2</v>
      </c>
      <c r="I18" s="8">
        <v>-0.33333333333333331</v>
      </c>
      <c r="J18" s="5">
        <v>5</v>
      </c>
      <c r="K18" s="8">
        <v>-0.5</v>
      </c>
      <c r="L18" s="5"/>
    </row>
    <row r="19" spans="7:12" x14ac:dyDescent="0.3">
      <c r="G19" s="3">
        <v>45017</v>
      </c>
      <c r="H19" s="5">
        <v>8</v>
      </c>
      <c r="I19" s="8">
        <v>3</v>
      </c>
      <c r="J19" s="5">
        <v>14</v>
      </c>
      <c r="K19" s="8">
        <v>1.8</v>
      </c>
      <c r="L19" s="5"/>
    </row>
    <row r="20" spans="7:12" x14ac:dyDescent="0.3">
      <c r="G20" s="3">
        <v>45047</v>
      </c>
      <c r="H20" s="5">
        <v>4</v>
      </c>
      <c r="I20" s="8">
        <v>-0.5</v>
      </c>
      <c r="J20" s="5">
        <v>13</v>
      </c>
      <c r="K20" s="8">
        <v>-7.1428571428571425E-2</v>
      </c>
      <c r="L20" s="5"/>
    </row>
    <row r="21" spans="7:12" x14ac:dyDescent="0.3">
      <c r="G21" s="3">
        <v>45078</v>
      </c>
      <c r="H21" s="5">
        <v>10</v>
      </c>
      <c r="I21" s="8">
        <v>1.5</v>
      </c>
      <c r="J21" s="5">
        <v>15</v>
      </c>
      <c r="K21" s="8">
        <v>0.15384615384615385</v>
      </c>
      <c r="L21" s="5"/>
    </row>
    <row r="22" spans="7:12" x14ac:dyDescent="0.3">
      <c r="G22" s="3">
        <v>45108</v>
      </c>
      <c r="H22" s="5">
        <v>7</v>
      </c>
      <c r="I22" s="8">
        <v>-0.3</v>
      </c>
      <c r="J22" s="5">
        <v>19</v>
      </c>
      <c r="K22" s="8">
        <v>0.26666666666666666</v>
      </c>
      <c r="L22" s="5"/>
    </row>
    <row r="23" spans="7:12" x14ac:dyDescent="0.3">
      <c r="G23" s="3">
        <v>45139</v>
      </c>
      <c r="H23" s="5">
        <v>7</v>
      </c>
      <c r="I23" s="8">
        <v>0</v>
      </c>
      <c r="J23" s="5">
        <v>10</v>
      </c>
      <c r="K23" s="8">
        <v>-0.47368421052631576</v>
      </c>
      <c r="L23" s="5"/>
    </row>
    <row r="24" spans="7:12" x14ac:dyDescent="0.3">
      <c r="G24" s="3">
        <v>45170</v>
      </c>
      <c r="H24" s="5">
        <v>7</v>
      </c>
      <c r="I24" s="8">
        <v>0</v>
      </c>
      <c r="J24" s="5">
        <v>17</v>
      </c>
      <c r="K24" s="8">
        <v>0.7</v>
      </c>
      <c r="L24" s="5"/>
    </row>
    <row r="25" spans="7:12" x14ac:dyDescent="0.3">
      <c r="G25" s="3">
        <v>45200</v>
      </c>
      <c r="H25" s="5">
        <v>5</v>
      </c>
      <c r="I25" s="8">
        <v>-0.2857142857142857</v>
      </c>
      <c r="J25" s="5">
        <v>16</v>
      </c>
      <c r="K25" s="8">
        <v>-5.8823529411764705E-2</v>
      </c>
      <c r="L25" s="5"/>
    </row>
    <row r="26" spans="7:12" x14ac:dyDescent="0.3">
      <c r="G26" s="3">
        <v>45231</v>
      </c>
      <c r="H26" s="5">
        <v>8</v>
      </c>
      <c r="I26" s="8">
        <v>0.6</v>
      </c>
      <c r="J26" s="5">
        <v>11</v>
      </c>
      <c r="K26" s="8">
        <v>-0.3125</v>
      </c>
      <c r="L26" s="5"/>
    </row>
    <row r="27" spans="7:12" x14ac:dyDescent="0.3">
      <c r="G27" s="3">
        <v>45261</v>
      </c>
      <c r="H27" s="5">
        <v>7</v>
      </c>
      <c r="I27" s="8">
        <v>-0.125</v>
      </c>
      <c r="J27" s="5">
        <v>9</v>
      </c>
      <c r="K27" s="8">
        <v>-0.18181818181818182</v>
      </c>
      <c r="L27" s="5"/>
    </row>
    <row r="28" spans="7:12" x14ac:dyDescent="0.3">
      <c r="G28" s="3">
        <v>45292</v>
      </c>
      <c r="H28" s="5">
        <v>7</v>
      </c>
      <c r="I28" s="8">
        <v>0</v>
      </c>
      <c r="J28" s="5">
        <v>10</v>
      </c>
      <c r="K28" s="8">
        <v>0.1111111111111111</v>
      </c>
      <c r="L28" s="5"/>
    </row>
    <row r="29" spans="7:12" x14ac:dyDescent="0.3">
      <c r="G29" s="3">
        <v>45323</v>
      </c>
      <c r="H29" s="5">
        <v>8</v>
      </c>
      <c r="I29" s="8">
        <v>0.14285714285714285</v>
      </c>
      <c r="J29" s="5">
        <v>7</v>
      </c>
      <c r="K29" s="8">
        <v>-0.3</v>
      </c>
      <c r="L29" s="5"/>
    </row>
    <row r="30" spans="7:12" x14ac:dyDescent="0.3">
      <c r="G30" s="3">
        <v>45352</v>
      </c>
      <c r="H30" s="5">
        <v>4</v>
      </c>
      <c r="I30" s="8">
        <v>-0.5</v>
      </c>
      <c r="J30" s="5">
        <v>19</v>
      </c>
      <c r="K30" s="8">
        <v>1.7142857142857142</v>
      </c>
      <c r="L30" s="5"/>
    </row>
    <row r="31" spans="7:12" x14ac:dyDescent="0.3">
      <c r="G31" s="3">
        <v>45383</v>
      </c>
      <c r="H31" s="5">
        <v>8</v>
      </c>
      <c r="I31" s="8">
        <v>1</v>
      </c>
      <c r="J31" s="5">
        <v>11</v>
      </c>
      <c r="K31" s="8">
        <v>-0.42105263157894735</v>
      </c>
      <c r="L31" s="5"/>
    </row>
    <row r="32" spans="7:12" x14ac:dyDescent="0.3">
      <c r="G32" s="3">
        <v>45413</v>
      </c>
      <c r="H32" s="5">
        <v>8</v>
      </c>
      <c r="I32" s="8">
        <v>0</v>
      </c>
      <c r="J32" s="5">
        <v>14</v>
      </c>
      <c r="K32" s="8">
        <v>0.27272727272727271</v>
      </c>
      <c r="L32" s="5"/>
    </row>
    <row r="33" spans="7:12" x14ac:dyDescent="0.3">
      <c r="G33" s="3">
        <v>45444</v>
      </c>
      <c r="H33" s="5">
        <v>9</v>
      </c>
      <c r="I33" s="8">
        <v>0.125</v>
      </c>
      <c r="J33" s="5">
        <v>13</v>
      </c>
      <c r="K33" s="8">
        <v>-7.1428571428571425E-2</v>
      </c>
      <c r="L33" s="5"/>
    </row>
    <row r="34" spans="7:12" x14ac:dyDescent="0.3">
      <c r="G34" s="3">
        <v>45474</v>
      </c>
      <c r="H34" s="5">
        <v>8</v>
      </c>
      <c r="I34" s="8">
        <v>-0.1111111111111111</v>
      </c>
      <c r="J34" s="5">
        <v>14</v>
      </c>
      <c r="K34" s="8">
        <v>7.6923076923076927E-2</v>
      </c>
      <c r="L34" s="5"/>
    </row>
    <row r="35" spans="7:12" x14ac:dyDescent="0.3">
      <c r="G35" s="3">
        <v>45505</v>
      </c>
      <c r="H35" s="5">
        <v>7</v>
      </c>
      <c r="I35" s="8">
        <v>-0.125</v>
      </c>
      <c r="J35" s="5">
        <v>12</v>
      </c>
      <c r="K35" s="8">
        <v>-0.14285714285714285</v>
      </c>
      <c r="L35" s="5"/>
    </row>
    <row r="36" spans="7:12" x14ac:dyDescent="0.3">
      <c r="G36" s="3">
        <v>45536</v>
      </c>
      <c r="H36" s="5">
        <v>7</v>
      </c>
      <c r="I36" s="8">
        <v>0</v>
      </c>
      <c r="J36" s="5">
        <v>11</v>
      </c>
      <c r="K36" s="8">
        <v>-8.3333333333333329E-2</v>
      </c>
      <c r="L36" s="5"/>
    </row>
    <row r="37" spans="7:12" x14ac:dyDescent="0.3">
      <c r="G37" s="3">
        <v>45566</v>
      </c>
      <c r="H37" s="5">
        <v>7</v>
      </c>
      <c r="I37" s="8">
        <v>0</v>
      </c>
      <c r="J37" s="5">
        <v>13</v>
      </c>
      <c r="K37" s="8">
        <v>0.18181818181818182</v>
      </c>
      <c r="L37" s="5"/>
    </row>
    <row r="38" spans="7:12" x14ac:dyDescent="0.3">
      <c r="G38" s="3">
        <v>45597</v>
      </c>
      <c r="H38" s="5">
        <v>9</v>
      </c>
      <c r="I38" s="8">
        <v>0.2857142857142857</v>
      </c>
      <c r="J38" s="5">
        <v>12</v>
      </c>
      <c r="K38" s="8">
        <v>-7.6923076923076927E-2</v>
      </c>
      <c r="L38" s="5"/>
    </row>
    <row r="39" spans="7:12" x14ac:dyDescent="0.3">
      <c r="G39" s="3">
        <v>45627</v>
      </c>
      <c r="H39" s="5">
        <v>9</v>
      </c>
      <c r="I39" s="8">
        <v>0</v>
      </c>
      <c r="J39" s="5">
        <v>15</v>
      </c>
      <c r="K39" s="8">
        <v>0.25</v>
      </c>
      <c r="L39" s="5"/>
    </row>
    <row r="40" spans="7:12" x14ac:dyDescent="0.3">
      <c r="G40" s="3">
        <v>45658</v>
      </c>
      <c r="H40" s="5">
        <v>9</v>
      </c>
      <c r="I40" s="8">
        <v>0</v>
      </c>
      <c r="J40" s="5">
        <v>13</v>
      </c>
      <c r="K40" s="8">
        <v>-0.13333333333333333</v>
      </c>
      <c r="L40" s="5"/>
    </row>
    <row r="41" spans="7:12" x14ac:dyDescent="0.3">
      <c r="G41" s="3">
        <v>45689</v>
      </c>
      <c r="H41" s="5">
        <v>8</v>
      </c>
      <c r="I41" s="8">
        <v>-0.1111111111111111</v>
      </c>
      <c r="J41" s="5">
        <v>15</v>
      </c>
      <c r="K41" s="8">
        <v>0.15384615384615385</v>
      </c>
      <c r="L41" s="5"/>
    </row>
    <row r="42" spans="7:12" x14ac:dyDescent="0.3">
      <c r="G42" s="3">
        <v>45717</v>
      </c>
      <c r="H42" s="5">
        <v>7</v>
      </c>
      <c r="I42" s="8">
        <v>-0.125</v>
      </c>
      <c r="J42" s="5">
        <v>18</v>
      </c>
      <c r="K42" s="8">
        <v>0.2</v>
      </c>
      <c r="L42" s="5"/>
    </row>
    <row r="43" spans="7:12" x14ac:dyDescent="0.3">
      <c r="G43" s="3">
        <v>45748</v>
      </c>
      <c r="H43" s="5">
        <v>17</v>
      </c>
      <c r="I43" s="8">
        <v>1.4285714285714286</v>
      </c>
      <c r="J43" s="5">
        <v>13</v>
      </c>
      <c r="K43" s="8">
        <v>-0.27777777777777779</v>
      </c>
      <c r="L43" s="5"/>
    </row>
    <row r="44" spans="7:12" x14ac:dyDescent="0.3">
      <c r="G44" s="3">
        <v>45778</v>
      </c>
      <c r="H44" s="5">
        <v>15</v>
      </c>
      <c r="I44" s="8">
        <v>-0.11764705882352941</v>
      </c>
      <c r="J44" s="5">
        <v>12</v>
      </c>
      <c r="K44" s="8">
        <v>-7.6923076923076927E-2</v>
      </c>
      <c r="L44" s="5"/>
    </row>
    <row r="45" spans="7:12" x14ac:dyDescent="0.3">
      <c r="G45" s="3">
        <v>45809</v>
      </c>
      <c r="H45" s="5">
        <v>11</v>
      </c>
      <c r="I45" s="8">
        <v>-0.26666666666666666</v>
      </c>
      <c r="J45" s="5">
        <v>15</v>
      </c>
      <c r="K45" s="8">
        <v>0.25</v>
      </c>
      <c r="L45" s="5"/>
    </row>
    <row r="46" spans="7:12" x14ac:dyDescent="0.3">
      <c r="G46" s="3">
        <v>45839</v>
      </c>
      <c r="H46" s="5">
        <v>9</v>
      </c>
      <c r="I46" s="8">
        <v>-0.18181818181818182</v>
      </c>
      <c r="J46" s="5">
        <v>9</v>
      </c>
      <c r="K46" s="8">
        <v>-0.4</v>
      </c>
      <c r="L46" s="5"/>
    </row>
    <row r="47" spans="7:12" x14ac:dyDescent="0.3">
      <c r="G47" s="3">
        <v>45870</v>
      </c>
      <c r="H47" s="5">
        <v>7</v>
      </c>
      <c r="I47" s="8">
        <v>-0.22222222222222221</v>
      </c>
      <c r="J47" s="5">
        <v>7</v>
      </c>
      <c r="K47" s="8">
        <v>-0.22222222222222221</v>
      </c>
      <c r="L47" s="5"/>
    </row>
    <row r="48" spans="7:12" x14ac:dyDescent="0.3">
      <c r="G48" s="3">
        <v>45901</v>
      </c>
      <c r="H48" s="5">
        <v>9</v>
      </c>
      <c r="I48" s="8">
        <v>0.2857142857142857</v>
      </c>
      <c r="J48" s="5">
        <v>13</v>
      </c>
      <c r="K48" s="8">
        <v>0.8571428571428571</v>
      </c>
      <c r="L48" s="5"/>
    </row>
    <row r="49" spans="7:12" x14ac:dyDescent="0.3">
      <c r="G49" s="3">
        <v>45931</v>
      </c>
      <c r="H49" s="5">
        <v>9</v>
      </c>
      <c r="I49" s="8">
        <v>0</v>
      </c>
      <c r="J49" s="5">
        <v>18</v>
      </c>
      <c r="K49" s="8">
        <v>0.38461538461538464</v>
      </c>
      <c r="L49" s="5"/>
    </row>
    <row r="50" spans="7:12" x14ac:dyDescent="0.3">
      <c r="G50" s="3">
        <v>45962</v>
      </c>
      <c r="H50" s="5">
        <v>9</v>
      </c>
      <c r="I50" s="8">
        <v>0</v>
      </c>
      <c r="J50" s="5">
        <v>11</v>
      </c>
      <c r="K50" s="8">
        <v>-0.3888888888888889</v>
      </c>
      <c r="L50" s="5"/>
    </row>
    <row r="51" spans="7:12" x14ac:dyDescent="0.3">
      <c r="G51" s="3">
        <v>45992</v>
      </c>
      <c r="H51" s="5">
        <v>4</v>
      </c>
      <c r="I51" s="8">
        <v>-0.55555555555555558</v>
      </c>
      <c r="J51" s="5">
        <v>11</v>
      </c>
      <c r="K51" s="8">
        <v>0</v>
      </c>
      <c r="L51" s="5"/>
    </row>
    <row r="52" spans="7:12" x14ac:dyDescent="0.3">
      <c r="G52" s="3" t="s">
        <v>669</v>
      </c>
      <c r="H52" s="5">
        <v>313</v>
      </c>
      <c r="I52" s="8"/>
      <c r="J52" s="5">
        <v>600</v>
      </c>
      <c r="K52" s="8"/>
      <c r="L52" s="5"/>
    </row>
    <row r="54" spans="7:12" x14ac:dyDescent="0.3">
      <c r="H54" s="5">
        <f>AVERAGE(H4:H51)</f>
        <v>6.520833333333333</v>
      </c>
      <c r="I54" s="5" t="e">
        <f>AVERAGE(I5:I51)</f>
        <v>#DIV/0!</v>
      </c>
      <c r="J54" s="5">
        <f t="shared" ref="J54:K54" si="0">AVERAGE(J5:J51)</f>
        <v>12.659574468085106</v>
      </c>
      <c r="K54" s="6">
        <f t="shared" si="0"/>
        <v>0.10220639198390995</v>
      </c>
    </row>
    <row r="56" spans="7:12" x14ac:dyDescent="0.3">
      <c r="I56" s="8">
        <f>AVERAGE(I8:I51,GETPIVOTDATA("Sum of churned_customers2",$G$3,"month",DATE(2022,3,1)),0,0)</f>
        <v>0.12392221879080456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92DF-6CA3-426E-A128-B864BEB5FBA8}">
  <dimension ref="B2:N8"/>
  <sheetViews>
    <sheetView workbookViewId="0">
      <selection activeCell="F9" sqref="F9"/>
    </sheetView>
  </sheetViews>
  <sheetFormatPr defaultRowHeight="14.4" x14ac:dyDescent="0.3"/>
  <cols>
    <col min="3" max="3" width="15.109375" bestFit="1" customWidth="1"/>
    <col min="4" max="4" width="12.33203125" bestFit="1" customWidth="1"/>
    <col min="6" max="6" width="23.5546875" bestFit="1" customWidth="1"/>
  </cols>
  <sheetData>
    <row r="2" spans="2:14" x14ac:dyDescent="0.3">
      <c r="B2" t="s">
        <v>687</v>
      </c>
      <c r="C2" t="s">
        <v>684</v>
      </c>
      <c r="D2" t="s">
        <v>683</v>
      </c>
      <c r="E2" t="s">
        <v>671</v>
      </c>
      <c r="F2" t="s">
        <v>688</v>
      </c>
      <c r="G2" t="s">
        <v>686</v>
      </c>
    </row>
    <row r="3" spans="2:14" x14ac:dyDescent="0.3">
      <c r="B3">
        <v>2022</v>
      </c>
      <c r="C3">
        <v>0</v>
      </c>
      <c r="D3">
        <v>60</v>
      </c>
      <c r="E3">
        <v>14</v>
      </c>
      <c r="F3">
        <f>C3+D3-E3</f>
        <v>46</v>
      </c>
      <c r="G3" s="6">
        <v>0</v>
      </c>
      <c r="J3" t="s">
        <v>691</v>
      </c>
      <c r="K3" s="8">
        <f>G8</f>
        <v>0.28494031595834352</v>
      </c>
      <c r="N3" s="6"/>
    </row>
    <row r="4" spans="2:14" x14ac:dyDescent="0.3">
      <c r="B4">
        <v>2023</v>
      </c>
      <c r="C4">
        <f>F3</f>
        <v>46</v>
      </c>
      <c r="D4">
        <v>57</v>
      </c>
      <c r="E4">
        <v>21</v>
      </c>
      <c r="F4">
        <f t="shared" ref="F4:F6" si="0">C4+D4-E4</f>
        <v>82</v>
      </c>
      <c r="G4" s="6">
        <f>E4/C4</f>
        <v>0.45652173913043476</v>
      </c>
    </row>
    <row r="5" spans="2:14" x14ac:dyDescent="0.3">
      <c r="B5">
        <v>2024</v>
      </c>
      <c r="C5">
        <f t="shared" ref="C5:C6" si="1">F4</f>
        <v>82</v>
      </c>
      <c r="D5">
        <v>70</v>
      </c>
      <c r="E5">
        <v>35</v>
      </c>
      <c r="F5">
        <f t="shared" si="0"/>
        <v>117</v>
      </c>
      <c r="G5" s="6">
        <f t="shared" ref="G5:G6" si="2">E5/C5</f>
        <v>0.42682926829268292</v>
      </c>
      <c r="J5" t="s">
        <v>692</v>
      </c>
      <c r="M5">
        <f>1/K3</f>
        <v>3.5095068826490445</v>
      </c>
    </row>
    <row r="6" spans="2:14" x14ac:dyDescent="0.3">
      <c r="B6">
        <v>2025</v>
      </c>
      <c r="C6">
        <f t="shared" si="1"/>
        <v>117</v>
      </c>
      <c r="D6">
        <v>61</v>
      </c>
      <c r="E6">
        <v>30</v>
      </c>
      <c r="F6">
        <f t="shared" si="0"/>
        <v>148</v>
      </c>
      <c r="G6" s="6">
        <f t="shared" si="2"/>
        <v>0.25641025641025639</v>
      </c>
    </row>
    <row r="7" spans="2:14" x14ac:dyDescent="0.3">
      <c r="J7" t="s">
        <v>693</v>
      </c>
      <c r="M7" s="5">
        <f>M5*12</f>
        <v>42.114082591788531</v>
      </c>
    </row>
    <row r="8" spans="2:14" x14ac:dyDescent="0.3">
      <c r="G8" s="8">
        <f>AVERAGE(G3:G6)</f>
        <v>0.28494031595834352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CABB-6616-4B31-BCC1-8BB71DA8E9D3}">
  <dimension ref="B3:N55"/>
  <sheetViews>
    <sheetView workbookViewId="0">
      <selection activeCell="N5" sqref="N5"/>
    </sheetView>
  </sheetViews>
  <sheetFormatPr defaultRowHeight="14.4" x14ac:dyDescent="0.3"/>
  <cols>
    <col min="2" max="2" width="9.33203125" bestFit="1" customWidth="1"/>
    <col min="3" max="3" width="15.109375" bestFit="1" customWidth="1"/>
    <col min="4" max="4" width="12.33203125" bestFit="1" customWidth="1"/>
    <col min="6" max="6" width="23.5546875" bestFit="1" customWidth="1"/>
  </cols>
  <sheetData>
    <row r="3" spans="2:14" x14ac:dyDescent="0.3">
      <c r="B3" t="s">
        <v>682</v>
      </c>
      <c r="C3" t="s">
        <v>684</v>
      </c>
      <c r="D3" t="s">
        <v>683</v>
      </c>
      <c r="E3" t="s">
        <v>671</v>
      </c>
      <c r="F3" t="s">
        <v>685</v>
      </c>
      <c r="G3" t="s">
        <v>686</v>
      </c>
      <c r="K3" t="s">
        <v>689</v>
      </c>
      <c r="L3" s="8">
        <f>G53</f>
        <v>5.6052594245654265E-2</v>
      </c>
    </row>
    <row r="4" spans="2:14" x14ac:dyDescent="0.3">
      <c r="B4" s="3">
        <v>44562</v>
      </c>
      <c r="C4" s="7">
        <v>0</v>
      </c>
      <c r="D4" s="7">
        <v>4</v>
      </c>
      <c r="E4" s="7">
        <v>0</v>
      </c>
      <c r="F4" s="7">
        <f>C4+D4-E4</f>
        <v>4</v>
      </c>
    </row>
    <row r="5" spans="2:14" x14ac:dyDescent="0.3">
      <c r="B5" s="3">
        <v>44593</v>
      </c>
      <c r="C5" s="7">
        <f>F4</f>
        <v>4</v>
      </c>
      <c r="D5" s="7">
        <v>6</v>
      </c>
      <c r="E5" s="7">
        <v>1</v>
      </c>
      <c r="F5" s="7">
        <f>C5+D5-E5</f>
        <v>9</v>
      </c>
      <c r="G5" s="6">
        <f>E5/C5</f>
        <v>0.25</v>
      </c>
      <c r="K5" t="s">
        <v>690</v>
      </c>
      <c r="N5" s="5">
        <f>1/L3</f>
        <v>17.840387469265611</v>
      </c>
    </row>
    <row r="6" spans="2:14" x14ac:dyDescent="0.3">
      <c r="B6" s="3">
        <v>44621</v>
      </c>
      <c r="C6" s="7">
        <f t="shared" ref="C6:C51" si="0">F5</f>
        <v>9</v>
      </c>
      <c r="D6" s="7">
        <v>7</v>
      </c>
      <c r="E6" s="7">
        <v>0</v>
      </c>
      <c r="F6" s="7">
        <f>C6+D6-E6</f>
        <v>16</v>
      </c>
      <c r="G6" s="6">
        <f t="shared" ref="G6:G51" si="1">E6/C6</f>
        <v>0</v>
      </c>
    </row>
    <row r="7" spans="2:14" x14ac:dyDescent="0.3">
      <c r="B7" s="3">
        <v>44652</v>
      </c>
      <c r="C7" s="7">
        <f t="shared" si="0"/>
        <v>16</v>
      </c>
      <c r="D7" s="7">
        <v>5</v>
      </c>
      <c r="E7" s="7">
        <v>2</v>
      </c>
      <c r="F7" s="7">
        <f t="shared" ref="F7:F51" si="2">C7+D7-E7</f>
        <v>19</v>
      </c>
      <c r="G7" s="6">
        <f t="shared" si="1"/>
        <v>0.125</v>
      </c>
    </row>
    <row r="8" spans="2:14" x14ac:dyDescent="0.3">
      <c r="B8" s="3">
        <v>44682</v>
      </c>
      <c r="C8" s="7">
        <f t="shared" si="0"/>
        <v>19</v>
      </c>
      <c r="D8" s="7">
        <v>9</v>
      </c>
      <c r="E8" s="7">
        <v>1</v>
      </c>
      <c r="F8" s="7">
        <f t="shared" si="2"/>
        <v>27</v>
      </c>
      <c r="G8" s="6">
        <f t="shared" si="1"/>
        <v>5.2631578947368418E-2</v>
      </c>
    </row>
    <row r="9" spans="2:14" x14ac:dyDescent="0.3">
      <c r="B9" s="3">
        <v>44713</v>
      </c>
      <c r="C9" s="7">
        <f t="shared" si="0"/>
        <v>27</v>
      </c>
      <c r="D9" s="7">
        <v>7</v>
      </c>
      <c r="E9" s="7">
        <v>2</v>
      </c>
      <c r="F9" s="7">
        <f t="shared" si="2"/>
        <v>32</v>
      </c>
      <c r="G9" s="6">
        <f t="shared" si="1"/>
        <v>7.407407407407407E-2</v>
      </c>
    </row>
    <row r="10" spans="2:14" x14ac:dyDescent="0.3">
      <c r="B10" s="3">
        <v>44743</v>
      </c>
      <c r="C10" s="7">
        <f t="shared" si="0"/>
        <v>32</v>
      </c>
      <c r="D10" s="7">
        <v>3</v>
      </c>
      <c r="E10" s="7">
        <v>3</v>
      </c>
      <c r="F10" s="7">
        <f t="shared" si="2"/>
        <v>32</v>
      </c>
      <c r="G10" s="6">
        <f t="shared" si="1"/>
        <v>9.375E-2</v>
      </c>
    </row>
    <row r="11" spans="2:14" x14ac:dyDescent="0.3">
      <c r="B11" s="3">
        <v>44774</v>
      </c>
      <c r="C11" s="7">
        <f t="shared" si="0"/>
        <v>32</v>
      </c>
      <c r="D11" s="7">
        <v>11</v>
      </c>
      <c r="E11" s="7">
        <v>4</v>
      </c>
      <c r="F11" s="7">
        <f t="shared" si="2"/>
        <v>39</v>
      </c>
      <c r="G11" s="6">
        <f t="shared" si="1"/>
        <v>0.125</v>
      </c>
    </row>
    <row r="12" spans="2:14" x14ac:dyDescent="0.3">
      <c r="B12" s="3">
        <v>44805</v>
      </c>
      <c r="C12" s="7">
        <f t="shared" si="0"/>
        <v>39</v>
      </c>
      <c r="D12" s="7">
        <v>7</v>
      </c>
      <c r="E12" s="7">
        <v>4</v>
      </c>
      <c r="F12" s="7">
        <f t="shared" si="2"/>
        <v>42</v>
      </c>
      <c r="G12" s="6">
        <f t="shared" si="1"/>
        <v>0.10256410256410256</v>
      </c>
    </row>
    <row r="13" spans="2:14" x14ac:dyDescent="0.3">
      <c r="B13" s="3">
        <v>44835</v>
      </c>
      <c r="C13" s="7">
        <f t="shared" si="0"/>
        <v>42</v>
      </c>
      <c r="D13" s="7">
        <v>7</v>
      </c>
      <c r="E13" s="7">
        <v>3</v>
      </c>
      <c r="F13" s="7">
        <f t="shared" si="2"/>
        <v>46</v>
      </c>
      <c r="G13" s="6">
        <f t="shared" si="1"/>
        <v>7.1428571428571425E-2</v>
      </c>
    </row>
    <row r="14" spans="2:14" x14ac:dyDescent="0.3">
      <c r="B14" s="3">
        <v>44866</v>
      </c>
      <c r="C14" s="7">
        <f t="shared" si="0"/>
        <v>46</v>
      </c>
      <c r="D14" s="7">
        <v>8</v>
      </c>
      <c r="E14" s="7">
        <v>1</v>
      </c>
      <c r="F14" s="7">
        <f t="shared" si="2"/>
        <v>53</v>
      </c>
      <c r="G14" s="6">
        <f t="shared" si="1"/>
        <v>2.1739130434782608E-2</v>
      </c>
    </row>
    <row r="15" spans="2:14" x14ac:dyDescent="0.3">
      <c r="B15" s="3">
        <v>44896</v>
      </c>
      <c r="C15" s="7">
        <f t="shared" si="0"/>
        <v>53</v>
      </c>
      <c r="D15" s="7">
        <v>9</v>
      </c>
      <c r="E15" s="7">
        <v>1</v>
      </c>
      <c r="F15" s="7">
        <f t="shared" si="2"/>
        <v>61</v>
      </c>
      <c r="G15" s="6">
        <f t="shared" si="1"/>
        <v>1.8867924528301886E-2</v>
      </c>
    </row>
    <row r="16" spans="2:14" x14ac:dyDescent="0.3">
      <c r="B16" s="3">
        <v>44927</v>
      </c>
      <c r="C16" s="7">
        <f t="shared" si="0"/>
        <v>61</v>
      </c>
      <c r="D16" s="7">
        <v>8</v>
      </c>
      <c r="E16" s="7">
        <v>3</v>
      </c>
      <c r="F16" s="7">
        <f t="shared" si="2"/>
        <v>66</v>
      </c>
      <c r="G16" s="6">
        <f t="shared" si="1"/>
        <v>4.9180327868852458E-2</v>
      </c>
    </row>
    <row r="17" spans="2:7" x14ac:dyDescent="0.3">
      <c r="B17" s="3">
        <v>44958</v>
      </c>
      <c r="C17" s="7">
        <f t="shared" si="0"/>
        <v>66</v>
      </c>
      <c r="D17" s="7">
        <v>7</v>
      </c>
      <c r="E17" s="7">
        <v>1</v>
      </c>
      <c r="F17" s="7">
        <f t="shared" si="2"/>
        <v>72</v>
      </c>
      <c r="G17" s="6">
        <f t="shared" si="1"/>
        <v>1.5151515151515152E-2</v>
      </c>
    </row>
    <row r="18" spans="2:7" x14ac:dyDescent="0.3">
      <c r="B18" s="3">
        <v>44986</v>
      </c>
      <c r="C18" s="7">
        <f t="shared" si="0"/>
        <v>72</v>
      </c>
      <c r="D18" s="7">
        <v>2</v>
      </c>
      <c r="E18" s="7">
        <v>2</v>
      </c>
      <c r="F18" s="7">
        <f t="shared" si="2"/>
        <v>72</v>
      </c>
      <c r="G18" s="6">
        <f t="shared" si="1"/>
        <v>2.7777777777777776E-2</v>
      </c>
    </row>
    <row r="19" spans="2:7" x14ac:dyDescent="0.3">
      <c r="B19" s="3">
        <v>45017</v>
      </c>
      <c r="C19" s="7">
        <f t="shared" si="0"/>
        <v>72</v>
      </c>
      <c r="D19" s="7">
        <v>12</v>
      </c>
      <c r="E19" s="7">
        <v>6</v>
      </c>
      <c r="F19" s="7">
        <f t="shared" si="2"/>
        <v>78</v>
      </c>
      <c r="G19" s="6">
        <f t="shared" si="1"/>
        <v>8.3333333333333329E-2</v>
      </c>
    </row>
    <row r="20" spans="2:7" x14ac:dyDescent="0.3">
      <c r="B20" s="3">
        <v>45047</v>
      </c>
      <c r="C20" s="7">
        <f t="shared" si="0"/>
        <v>78</v>
      </c>
      <c r="D20" s="7">
        <v>7</v>
      </c>
      <c r="E20" s="7">
        <v>3</v>
      </c>
      <c r="F20" s="7">
        <f t="shared" si="2"/>
        <v>82</v>
      </c>
      <c r="G20" s="6">
        <f t="shared" si="1"/>
        <v>3.8461538461538464E-2</v>
      </c>
    </row>
    <row r="21" spans="2:7" x14ac:dyDescent="0.3">
      <c r="B21" s="3">
        <v>45078</v>
      </c>
      <c r="C21" s="7">
        <f t="shared" si="0"/>
        <v>82</v>
      </c>
      <c r="D21" s="7">
        <v>11</v>
      </c>
      <c r="E21" s="7">
        <v>6</v>
      </c>
      <c r="F21" s="7">
        <f t="shared" si="2"/>
        <v>87</v>
      </c>
      <c r="G21" s="6">
        <f t="shared" si="1"/>
        <v>7.3170731707317069E-2</v>
      </c>
    </row>
    <row r="22" spans="2:7" x14ac:dyDescent="0.3">
      <c r="B22" s="3">
        <v>45108</v>
      </c>
      <c r="C22" s="7">
        <f t="shared" si="0"/>
        <v>87</v>
      </c>
      <c r="D22" s="7">
        <v>13</v>
      </c>
      <c r="E22" s="7">
        <v>7</v>
      </c>
      <c r="F22" s="7">
        <f t="shared" si="2"/>
        <v>93</v>
      </c>
      <c r="G22" s="6">
        <f t="shared" si="1"/>
        <v>8.0459770114942528E-2</v>
      </c>
    </row>
    <row r="23" spans="2:7" x14ac:dyDescent="0.3">
      <c r="B23" s="3">
        <v>45139</v>
      </c>
      <c r="C23" s="7">
        <f t="shared" si="0"/>
        <v>93</v>
      </c>
      <c r="D23" s="7">
        <v>5</v>
      </c>
      <c r="E23" s="7">
        <v>5</v>
      </c>
      <c r="F23" s="7">
        <f t="shared" si="2"/>
        <v>93</v>
      </c>
      <c r="G23" s="6">
        <f t="shared" si="1"/>
        <v>5.3763440860215055E-2</v>
      </c>
    </row>
    <row r="24" spans="2:7" x14ac:dyDescent="0.3">
      <c r="B24" s="3">
        <v>45170</v>
      </c>
      <c r="C24" s="7">
        <f t="shared" si="0"/>
        <v>93</v>
      </c>
      <c r="D24" s="7">
        <v>10</v>
      </c>
      <c r="E24" s="7">
        <v>2</v>
      </c>
      <c r="F24" s="7">
        <f t="shared" si="2"/>
        <v>101</v>
      </c>
      <c r="G24" s="6">
        <f t="shared" si="1"/>
        <v>2.1505376344086023E-2</v>
      </c>
    </row>
    <row r="25" spans="2:7" x14ac:dyDescent="0.3">
      <c r="B25" s="3">
        <v>45200</v>
      </c>
      <c r="C25" s="7">
        <f t="shared" si="0"/>
        <v>101</v>
      </c>
      <c r="D25" s="7">
        <v>10</v>
      </c>
      <c r="E25" s="7">
        <v>4</v>
      </c>
      <c r="F25" s="7">
        <f t="shared" si="2"/>
        <v>107</v>
      </c>
      <c r="G25" s="6">
        <f t="shared" si="1"/>
        <v>3.9603960396039604E-2</v>
      </c>
    </row>
    <row r="26" spans="2:7" x14ac:dyDescent="0.3">
      <c r="B26" s="3">
        <v>45231</v>
      </c>
      <c r="C26" s="7">
        <f t="shared" si="0"/>
        <v>107</v>
      </c>
      <c r="D26" s="7">
        <v>6</v>
      </c>
      <c r="E26" s="7">
        <v>6</v>
      </c>
      <c r="F26" s="7">
        <f t="shared" si="2"/>
        <v>107</v>
      </c>
      <c r="G26" s="6">
        <f t="shared" si="1"/>
        <v>5.6074766355140186E-2</v>
      </c>
    </row>
    <row r="27" spans="2:7" x14ac:dyDescent="0.3">
      <c r="B27" s="3">
        <v>45261</v>
      </c>
      <c r="C27" s="7">
        <f t="shared" si="0"/>
        <v>107</v>
      </c>
      <c r="D27" s="7">
        <v>3</v>
      </c>
      <c r="E27" s="7">
        <v>6</v>
      </c>
      <c r="F27" s="7">
        <f t="shared" si="2"/>
        <v>104</v>
      </c>
      <c r="G27" s="6">
        <f t="shared" si="1"/>
        <v>5.6074766355140186E-2</v>
      </c>
    </row>
    <row r="28" spans="2:7" x14ac:dyDescent="0.3">
      <c r="B28" s="3">
        <v>45292</v>
      </c>
      <c r="C28" s="7">
        <f t="shared" si="0"/>
        <v>104</v>
      </c>
      <c r="D28" s="7">
        <v>5</v>
      </c>
      <c r="E28" s="7">
        <v>3</v>
      </c>
      <c r="F28" s="7">
        <f t="shared" si="2"/>
        <v>106</v>
      </c>
      <c r="G28" s="6">
        <f t="shared" si="1"/>
        <v>2.8846153846153848E-2</v>
      </c>
    </row>
    <row r="29" spans="2:7" x14ac:dyDescent="0.3">
      <c r="B29" s="3">
        <v>45323</v>
      </c>
      <c r="C29" s="7">
        <f t="shared" si="0"/>
        <v>106</v>
      </c>
      <c r="D29" s="7">
        <v>6</v>
      </c>
      <c r="E29" s="7">
        <v>6</v>
      </c>
      <c r="F29" s="7">
        <f t="shared" si="2"/>
        <v>106</v>
      </c>
      <c r="G29" s="6">
        <f t="shared" si="1"/>
        <v>5.6603773584905662E-2</v>
      </c>
    </row>
    <row r="30" spans="2:7" x14ac:dyDescent="0.3">
      <c r="B30" s="3">
        <v>45352</v>
      </c>
      <c r="C30" s="7">
        <f t="shared" si="0"/>
        <v>106</v>
      </c>
      <c r="D30" s="7">
        <v>11</v>
      </c>
      <c r="E30" s="7">
        <v>4</v>
      </c>
      <c r="F30" s="7">
        <f t="shared" si="2"/>
        <v>113</v>
      </c>
      <c r="G30" s="6">
        <f t="shared" si="1"/>
        <v>3.7735849056603772E-2</v>
      </c>
    </row>
    <row r="31" spans="2:7" x14ac:dyDescent="0.3">
      <c r="B31" s="3">
        <v>45383</v>
      </c>
      <c r="C31" s="7">
        <f t="shared" si="0"/>
        <v>113</v>
      </c>
      <c r="D31" s="7">
        <v>7</v>
      </c>
      <c r="E31" s="7">
        <v>7</v>
      </c>
      <c r="F31" s="7">
        <f t="shared" si="2"/>
        <v>113</v>
      </c>
      <c r="G31" s="6">
        <f t="shared" si="1"/>
        <v>6.1946902654867256E-2</v>
      </c>
    </row>
    <row r="32" spans="2:7" x14ac:dyDescent="0.3">
      <c r="B32" s="3">
        <v>45413</v>
      </c>
      <c r="C32" s="7">
        <f t="shared" si="0"/>
        <v>113</v>
      </c>
      <c r="D32" s="7">
        <v>3</v>
      </c>
      <c r="E32" s="7">
        <v>6</v>
      </c>
      <c r="F32" s="7">
        <f t="shared" si="2"/>
        <v>110</v>
      </c>
      <c r="G32" s="6">
        <f t="shared" si="1"/>
        <v>5.3097345132743362E-2</v>
      </c>
    </row>
    <row r="33" spans="2:7" x14ac:dyDescent="0.3">
      <c r="B33" s="3">
        <v>45444</v>
      </c>
      <c r="C33" s="7">
        <f t="shared" si="0"/>
        <v>110</v>
      </c>
      <c r="D33" s="7">
        <v>5</v>
      </c>
      <c r="E33" s="7">
        <v>5</v>
      </c>
      <c r="F33" s="7">
        <f t="shared" si="2"/>
        <v>110</v>
      </c>
      <c r="G33" s="6">
        <f t="shared" si="1"/>
        <v>4.5454545454545456E-2</v>
      </c>
    </row>
    <row r="34" spans="2:7" x14ac:dyDescent="0.3">
      <c r="B34" s="3">
        <v>45474</v>
      </c>
      <c r="C34" s="7">
        <f t="shared" si="0"/>
        <v>110</v>
      </c>
      <c r="D34" s="7">
        <v>8</v>
      </c>
      <c r="E34" s="7">
        <v>3</v>
      </c>
      <c r="F34" s="7">
        <f t="shared" si="2"/>
        <v>115</v>
      </c>
      <c r="G34" s="6">
        <f t="shared" si="1"/>
        <v>2.7272727272727271E-2</v>
      </c>
    </row>
    <row r="35" spans="2:7" x14ac:dyDescent="0.3">
      <c r="B35" s="3">
        <v>45505</v>
      </c>
      <c r="C35" s="7">
        <f t="shared" si="0"/>
        <v>115</v>
      </c>
      <c r="D35" s="7">
        <v>5</v>
      </c>
      <c r="E35" s="7">
        <v>4</v>
      </c>
      <c r="F35" s="7">
        <f t="shared" si="2"/>
        <v>116</v>
      </c>
      <c r="G35" s="6">
        <f t="shared" si="1"/>
        <v>3.4782608695652174E-2</v>
      </c>
    </row>
    <row r="36" spans="2:7" x14ac:dyDescent="0.3">
      <c r="B36" s="3">
        <v>45536</v>
      </c>
      <c r="C36" s="7">
        <f t="shared" si="0"/>
        <v>116</v>
      </c>
      <c r="D36" s="7">
        <v>7</v>
      </c>
      <c r="E36" s="7">
        <v>5</v>
      </c>
      <c r="F36" s="7">
        <f t="shared" si="2"/>
        <v>118</v>
      </c>
      <c r="G36" s="6">
        <f t="shared" si="1"/>
        <v>4.3103448275862072E-2</v>
      </c>
    </row>
    <row r="37" spans="2:7" x14ac:dyDescent="0.3">
      <c r="B37" s="3">
        <v>45566</v>
      </c>
      <c r="C37" s="7">
        <f t="shared" si="0"/>
        <v>118</v>
      </c>
      <c r="D37" s="7">
        <v>5</v>
      </c>
      <c r="E37" s="7">
        <v>4</v>
      </c>
      <c r="F37" s="7">
        <f t="shared" si="2"/>
        <v>119</v>
      </c>
      <c r="G37" s="6">
        <f t="shared" si="1"/>
        <v>3.3898305084745763E-2</v>
      </c>
    </row>
    <row r="38" spans="2:7" x14ac:dyDescent="0.3">
      <c r="B38" s="3">
        <v>45597</v>
      </c>
      <c r="C38" s="7">
        <f t="shared" si="0"/>
        <v>119</v>
      </c>
      <c r="D38" s="7">
        <v>9</v>
      </c>
      <c r="E38" s="7">
        <v>4</v>
      </c>
      <c r="F38" s="7">
        <f t="shared" si="2"/>
        <v>124</v>
      </c>
      <c r="G38" s="6">
        <f t="shared" si="1"/>
        <v>3.3613445378151259E-2</v>
      </c>
    </row>
    <row r="39" spans="2:7" x14ac:dyDescent="0.3">
      <c r="B39" s="3">
        <v>45627</v>
      </c>
      <c r="C39" s="7">
        <f t="shared" si="0"/>
        <v>124</v>
      </c>
      <c r="D39" s="7">
        <v>10</v>
      </c>
      <c r="E39" s="7">
        <v>5</v>
      </c>
      <c r="F39" s="7">
        <f t="shared" si="2"/>
        <v>129</v>
      </c>
      <c r="G39" s="6">
        <f t="shared" si="1"/>
        <v>4.0322580645161289E-2</v>
      </c>
    </row>
    <row r="40" spans="2:7" x14ac:dyDescent="0.3">
      <c r="B40" s="3">
        <v>45658</v>
      </c>
      <c r="C40" s="7">
        <f t="shared" si="0"/>
        <v>129</v>
      </c>
      <c r="D40" s="7">
        <v>8</v>
      </c>
      <c r="E40" s="7">
        <v>7</v>
      </c>
      <c r="F40" s="7">
        <f t="shared" si="2"/>
        <v>130</v>
      </c>
      <c r="G40" s="6">
        <f t="shared" si="1"/>
        <v>5.4263565891472867E-2</v>
      </c>
    </row>
    <row r="41" spans="2:7" x14ac:dyDescent="0.3">
      <c r="B41" s="3">
        <v>45689</v>
      </c>
      <c r="C41" s="7">
        <f t="shared" si="0"/>
        <v>130</v>
      </c>
      <c r="D41" s="7">
        <v>8</v>
      </c>
      <c r="E41" s="7">
        <v>4</v>
      </c>
      <c r="F41" s="7">
        <f t="shared" si="2"/>
        <v>134</v>
      </c>
      <c r="G41" s="6">
        <f t="shared" si="1"/>
        <v>3.0769230769230771E-2</v>
      </c>
    </row>
    <row r="42" spans="2:7" x14ac:dyDescent="0.3">
      <c r="B42" s="3">
        <v>45717</v>
      </c>
      <c r="C42" s="7">
        <f t="shared" si="0"/>
        <v>134</v>
      </c>
      <c r="D42" s="7">
        <v>15</v>
      </c>
      <c r="E42" s="7">
        <v>5</v>
      </c>
      <c r="F42" s="7">
        <f t="shared" si="2"/>
        <v>144</v>
      </c>
      <c r="G42" s="6">
        <f t="shared" si="1"/>
        <v>3.7313432835820892E-2</v>
      </c>
    </row>
    <row r="43" spans="2:7" x14ac:dyDescent="0.3">
      <c r="B43" s="3">
        <v>45748</v>
      </c>
      <c r="C43" s="7">
        <f t="shared" si="0"/>
        <v>144</v>
      </c>
      <c r="D43" s="7">
        <v>10</v>
      </c>
      <c r="E43" s="7">
        <v>13</v>
      </c>
      <c r="F43" s="7">
        <f t="shared" si="2"/>
        <v>141</v>
      </c>
      <c r="G43" s="6">
        <f t="shared" si="1"/>
        <v>9.0277777777777776E-2</v>
      </c>
    </row>
    <row r="44" spans="2:7" x14ac:dyDescent="0.3">
      <c r="B44" s="3">
        <v>45778</v>
      </c>
      <c r="C44" s="7">
        <f t="shared" si="0"/>
        <v>141</v>
      </c>
      <c r="D44" s="7">
        <v>7</v>
      </c>
      <c r="E44" s="7">
        <v>11</v>
      </c>
      <c r="F44" s="7">
        <f t="shared" si="2"/>
        <v>137</v>
      </c>
      <c r="G44" s="6">
        <f t="shared" si="1"/>
        <v>7.8014184397163122E-2</v>
      </c>
    </row>
    <row r="45" spans="2:7" x14ac:dyDescent="0.3">
      <c r="B45" s="3">
        <v>45809</v>
      </c>
      <c r="C45" s="7">
        <f t="shared" si="0"/>
        <v>137</v>
      </c>
      <c r="D45" s="7">
        <v>10</v>
      </c>
      <c r="E45" s="7">
        <v>7</v>
      </c>
      <c r="F45" s="7">
        <f t="shared" si="2"/>
        <v>140</v>
      </c>
      <c r="G45" s="6">
        <f t="shared" si="1"/>
        <v>5.1094890510948905E-2</v>
      </c>
    </row>
    <row r="46" spans="2:7" x14ac:dyDescent="0.3">
      <c r="B46" s="3">
        <v>45839</v>
      </c>
      <c r="C46" s="7">
        <f t="shared" si="0"/>
        <v>140</v>
      </c>
      <c r="D46" s="7">
        <v>6</v>
      </c>
      <c r="E46" s="7">
        <v>8</v>
      </c>
      <c r="F46" s="7">
        <f t="shared" si="2"/>
        <v>138</v>
      </c>
      <c r="G46" s="6">
        <f t="shared" si="1"/>
        <v>5.7142857142857141E-2</v>
      </c>
    </row>
    <row r="47" spans="2:7" x14ac:dyDescent="0.3">
      <c r="B47" s="3">
        <v>45870</v>
      </c>
      <c r="C47" s="7">
        <f t="shared" si="0"/>
        <v>138</v>
      </c>
      <c r="D47" s="7">
        <v>3</v>
      </c>
      <c r="E47" s="7">
        <v>5</v>
      </c>
      <c r="F47" s="7">
        <f t="shared" si="2"/>
        <v>136</v>
      </c>
      <c r="G47" s="6">
        <f t="shared" si="1"/>
        <v>3.6231884057971016E-2</v>
      </c>
    </row>
    <row r="48" spans="2:7" x14ac:dyDescent="0.3">
      <c r="B48" s="3">
        <v>45901</v>
      </c>
      <c r="C48" s="7">
        <f t="shared" si="0"/>
        <v>136</v>
      </c>
      <c r="D48" s="7">
        <v>9</v>
      </c>
      <c r="E48" s="7">
        <v>7</v>
      </c>
      <c r="F48" s="7">
        <f t="shared" si="2"/>
        <v>138</v>
      </c>
      <c r="G48" s="6">
        <f t="shared" si="1"/>
        <v>5.1470588235294115E-2</v>
      </c>
    </row>
    <row r="49" spans="2:7" x14ac:dyDescent="0.3">
      <c r="B49" s="3">
        <v>45931</v>
      </c>
      <c r="C49" s="7">
        <f t="shared" si="0"/>
        <v>138</v>
      </c>
      <c r="D49" s="7">
        <v>11</v>
      </c>
      <c r="E49" s="7">
        <v>7</v>
      </c>
      <c r="F49" s="7">
        <f t="shared" si="2"/>
        <v>142</v>
      </c>
      <c r="G49" s="6">
        <f t="shared" si="1"/>
        <v>5.0724637681159424E-2</v>
      </c>
    </row>
    <row r="50" spans="2:7" x14ac:dyDescent="0.3">
      <c r="B50" s="3">
        <v>45962</v>
      </c>
      <c r="C50" s="7">
        <f t="shared" si="0"/>
        <v>142</v>
      </c>
      <c r="D50" s="7">
        <v>4</v>
      </c>
      <c r="E50" s="7">
        <v>7</v>
      </c>
      <c r="F50" s="7">
        <f t="shared" si="2"/>
        <v>139</v>
      </c>
      <c r="G50" s="6">
        <f t="shared" si="1"/>
        <v>4.9295774647887321E-2</v>
      </c>
    </row>
    <row r="51" spans="2:7" x14ac:dyDescent="0.3">
      <c r="B51" s="3">
        <v>45992</v>
      </c>
      <c r="C51" s="7">
        <f t="shared" si="0"/>
        <v>139</v>
      </c>
      <c r="D51" s="7">
        <v>3</v>
      </c>
      <c r="E51" s="7">
        <v>3</v>
      </c>
      <c r="F51" s="7">
        <f t="shared" si="2"/>
        <v>139</v>
      </c>
      <c r="G51" s="6">
        <f t="shared" si="1"/>
        <v>2.1582733812949641E-2</v>
      </c>
    </row>
    <row r="53" spans="2:7" x14ac:dyDescent="0.3">
      <c r="G53" s="8">
        <f>AVERAGE(G5:G51)</f>
        <v>5.6052594245654265E-2</v>
      </c>
    </row>
    <row r="55" spans="2:7" x14ac:dyDescent="0.3">
      <c r="F55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FB11-0FDE-4436-A850-FAA1BF9D3D80}">
  <dimension ref="A3:L35"/>
  <sheetViews>
    <sheetView topLeftCell="A13" workbookViewId="0">
      <selection activeCell="J30" sqref="J30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13.6640625" bestFit="1" customWidth="1"/>
    <col min="4" max="4" width="10.109375" bestFit="1" customWidth="1"/>
    <col min="5" max="5" width="14.21875" bestFit="1" customWidth="1"/>
    <col min="6" max="7" width="10.5546875" bestFit="1" customWidth="1"/>
    <col min="8" max="8" width="5.33203125" bestFit="1" customWidth="1"/>
    <col min="9" max="9" width="6.109375" bestFit="1" customWidth="1"/>
    <col min="10" max="10" width="5.88671875" bestFit="1" customWidth="1"/>
    <col min="11" max="11" width="10.21875" bestFit="1" customWidth="1"/>
    <col min="12" max="12" width="10.5546875" bestFit="1" customWidth="1"/>
  </cols>
  <sheetData>
    <row r="3" spans="1:12" x14ac:dyDescent="0.3">
      <c r="A3" s="2" t="s">
        <v>670</v>
      </c>
      <c r="B3" s="2" t="s">
        <v>672</v>
      </c>
      <c r="F3" t="s">
        <v>694</v>
      </c>
    </row>
    <row r="4" spans="1:12" x14ac:dyDescent="0.3">
      <c r="A4" s="2" t="s">
        <v>668</v>
      </c>
      <c r="B4" t="s">
        <v>36</v>
      </c>
      <c r="C4" t="s">
        <v>27</v>
      </c>
      <c r="D4" t="s">
        <v>669</v>
      </c>
    </row>
    <row r="5" spans="1:12" x14ac:dyDescent="0.3">
      <c r="A5" s="4" t="s">
        <v>34</v>
      </c>
      <c r="B5">
        <v>148</v>
      </c>
      <c r="C5">
        <v>139</v>
      </c>
      <c r="D5">
        <v>287</v>
      </c>
    </row>
    <row r="6" spans="1:12" x14ac:dyDescent="0.3">
      <c r="A6" s="4" t="s">
        <v>32</v>
      </c>
      <c r="B6">
        <v>100</v>
      </c>
      <c r="C6">
        <v>213</v>
      </c>
      <c r="D6">
        <v>313</v>
      </c>
    </row>
    <row r="7" spans="1:12" x14ac:dyDescent="0.3">
      <c r="A7" s="4" t="s">
        <v>669</v>
      </c>
      <c r="B7">
        <v>248</v>
      </c>
      <c r="C7">
        <v>352</v>
      </c>
      <c r="D7">
        <v>600</v>
      </c>
    </row>
    <row r="9" spans="1:12" x14ac:dyDescent="0.3">
      <c r="B9" s="6">
        <f>GETPIVOTDATA("customer_id",$A$3,"billing_cycle","Annual","churned","Yes")/GETPIVOTDATA("customer_id",$A$3,"billing_cycle","Annual")</f>
        <v>0.40322580645161288</v>
      </c>
      <c r="C9" s="6">
        <f>GETPIVOTDATA("customer_id",$A$3,"billing_cycle","Monthly","churned","Yes")/GETPIVOTDATA("customer_id",$A$3,"billing_cycle","Monthly")</f>
        <v>0.60511363636363635</v>
      </c>
    </row>
    <row r="12" spans="1:12" x14ac:dyDescent="0.3">
      <c r="A12" s="2" t="s">
        <v>670</v>
      </c>
      <c r="B12" s="2" t="s">
        <v>672</v>
      </c>
    </row>
    <row r="13" spans="1:12" x14ac:dyDescent="0.3">
      <c r="A13" s="2" t="s">
        <v>668</v>
      </c>
      <c r="B13" t="s">
        <v>73</v>
      </c>
      <c r="C13" t="s">
        <v>50</v>
      </c>
      <c r="D13" t="s">
        <v>90</v>
      </c>
      <c r="E13" t="s">
        <v>63</v>
      </c>
      <c r="F13" t="s">
        <v>46</v>
      </c>
      <c r="G13" t="s">
        <v>41</v>
      </c>
      <c r="H13" t="s">
        <v>79</v>
      </c>
      <c r="I13" t="s">
        <v>60</v>
      </c>
      <c r="J13" t="s">
        <v>28</v>
      </c>
      <c r="K13" t="s">
        <v>52</v>
      </c>
      <c r="L13" t="s">
        <v>669</v>
      </c>
    </row>
    <row r="14" spans="1:12" x14ac:dyDescent="0.3">
      <c r="A14" s="4" t="s">
        <v>34</v>
      </c>
      <c r="B14">
        <v>43</v>
      </c>
      <c r="C14">
        <v>33</v>
      </c>
      <c r="D14">
        <v>30</v>
      </c>
      <c r="E14">
        <v>26</v>
      </c>
      <c r="F14">
        <v>24</v>
      </c>
      <c r="G14">
        <v>25</v>
      </c>
      <c r="H14">
        <v>26</v>
      </c>
      <c r="I14">
        <v>30</v>
      </c>
      <c r="J14">
        <v>22</v>
      </c>
      <c r="K14">
        <v>28</v>
      </c>
      <c r="L14">
        <v>287</v>
      </c>
    </row>
    <row r="15" spans="1:12" x14ac:dyDescent="0.3">
      <c r="A15" s="4" t="s">
        <v>32</v>
      </c>
      <c r="B15">
        <v>34</v>
      </c>
      <c r="C15">
        <v>31</v>
      </c>
      <c r="D15">
        <v>32</v>
      </c>
      <c r="E15">
        <v>35</v>
      </c>
      <c r="F15">
        <v>37</v>
      </c>
      <c r="G15">
        <v>36</v>
      </c>
      <c r="H15">
        <v>31</v>
      </c>
      <c r="I15">
        <v>24</v>
      </c>
      <c r="J15">
        <v>30</v>
      </c>
      <c r="K15">
        <v>23</v>
      </c>
      <c r="L15">
        <v>313</v>
      </c>
    </row>
    <row r="16" spans="1:12" x14ac:dyDescent="0.3">
      <c r="A16" s="4" t="s">
        <v>669</v>
      </c>
      <c r="B16">
        <v>77</v>
      </c>
      <c r="C16">
        <v>64</v>
      </c>
      <c r="D16">
        <v>62</v>
      </c>
      <c r="E16">
        <v>61</v>
      </c>
      <c r="F16">
        <v>61</v>
      </c>
      <c r="G16">
        <v>61</v>
      </c>
      <c r="H16">
        <v>57</v>
      </c>
      <c r="I16">
        <v>54</v>
      </c>
      <c r="J16">
        <v>52</v>
      </c>
      <c r="K16">
        <v>51</v>
      </c>
      <c r="L16">
        <v>600</v>
      </c>
    </row>
    <row r="19" spans="1:7" x14ac:dyDescent="0.3">
      <c r="A19" s="2" t="s">
        <v>670</v>
      </c>
      <c r="B19" s="2" t="s">
        <v>672</v>
      </c>
    </row>
    <row r="20" spans="1:7" x14ac:dyDescent="0.3">
      <c r="A20" s="2" t="s">
        <v>668</v>
      </c>
      <c r="B20" t="s">
        <v>47</v>
      </c>
      <c r="C20" t="s">
        <v>53</v>
      </c>
      <c r="D20" t="s">
        <v>29</v>
      </c>
      <c r="E20" t="s">
        <v>56</v>
      </c>
      <c r="F20" t="s">
        <v>42</v>
      </c>
      <c r="G20" t="s">
        <v>669</v>
      </c>
    </row>
    <row r="21" spans="1:7" x14ac:dyDescent="0.3">
      <c r="A21" s="4" t="s">
        <v>34</v>
      </c>
      <c r="B21">
        <v>83</v>
      </c>
      <c r="C21">
        <v>68</v>
      </c>
      <c r="D21">
        <v>81</v>
      </c>
      <c r="E21">
        <v>41</v>
      </c>
      <c r="F21">
        <v>14</v>
      </c>
      <c r="G21">
        <v>287</v>
      </c>
    </row>
    <row r="22" spans="1:7" x14ac:dyDescent="0.3">
      <c r="A22" s="4" t="s">
        <v>32</v>
      </c>
      <c r="B22">
        <v>93</v>
      </c>
      <c r="C22">
        <v>89</v>
      </c>
      <c r="D22">
        <v>60</v>
      </c>
      <c r="E22">
        <v>47</v>
      </c>
      <c r="F22">
        <v>24</v>
      </c>
      <c r="G22">
        <v>313</v>
      </c>
    </row>
    <row r="23" spans="1:7" x14ac:dyDescent="0.3">
      <c r="A23" s="4" t="s">
        <v>669</v>
      </c>
      <c r="B23">
        <v>176</v>
      </c>
      <c r="C23">
        <v>157</v>
      </c>
      <c r="D23">
        <v>141</v>
      </c>
      <c r="E23">
        <v>88</v>
      </c>
      <c r="F23">
        <v>38</v>
      </c>
      <c r="G23">
        <v>600</v>
      </c>
    </row>
    <row r="25" spans="1:7" x14ac:dyDescent="0.3">
      <c r="A25" s="2" t="s">
        <v>670</v>
      </c>
      <c r="B25" s="2" t="s">
        <v>672</v>
      </c>
    </row>
    <row r="26" spans="1:7" x14ac:dyDescent="0.3">
      <c r="A26" s="2" t="s">
        <v>668</v>
      </c>
      <c r="B26" t="s">
        <v>31</v>
      </c>
      <c r="C26" t="s">
        <v>48</v>
      </c>
      <c r="D26" t="s">
        <v>66</v>
      </c>
      <c r="E26" t="s">
        <v>80</v>
      </c>
      <c r="F26" t="s">
        <v>669</v>
      </c>
    </row>
    <row r="27" spans="1:7" x14ac:dyDescent="0.3">
      <c r="A27" s="4" t="s">
        <v>34</v>
      </c>
      <c r="B27">
        <v>145</v>
      </c>
      <c r="C27">
        <v>73</v>
      </c>
      <c r="D27">
        <v>46</v>
      </c>
      <c r="E27">
        <v>23</v>
      </c>
      <c r="F27">
        <v>287</v>
      </c>
    </row>
    <row r="28" spans="1:7" x14ac:dyDescent="0.3">
      <c r="A28" s="4" t="s">
        <v>32</v>
      </c>
      <c r="B28">
        <v>139</v>
      </c>
      <c r="C28">
        <v>89</v>
      </c>
      <c r="D28">
        <v>48</v>
      </c>
      <c r="E28">
        <v>37</v>
      </c>
      <c r="F28">
        <v>313</v>
      </c>
    </row>
    <row r="29" spans="1:7" x14ac:dyDescent="0.3">
      <c r="A29" s="4" t="s">
        <v>669</v>
      </c>
      <c r="B29">
        <v>284</v>
      </c>
      <c r="C29">
        <v>162</v>
      </c>
      <c r="D29">
        <v>94</v>
      </c>
      <c r="E29">
        <v>60</v>
      </c>
      <c r="F29">
        <v>600</v>
      </c>
    </row>
    <row r="31" spans="1:7" x14ac:dyDescent="0.3">
      <c r="A31" s="2" t="s">
        <v>670</v>
      </c>
      <c r="B31" s="2" t="s">
        <v>672</v>
      </c>
    </row>
    <row r="32" spans="1:7" x14ac:dyDescent="0.3">
      <c r="A32" s="2" t="s">
        <v>668</v>
      </c>
      <c r="B32" t="s">
        <v>675</v>
      </c>
      <c r="C32" t="s">
        <v>677</v>
      </c>
      <c r="D32" t="s">
        <v>674</v>
      </c>
      <c r="E32" t="s">
        <v>676</v>
      </c>
      <c r="F32" t="s">
        <v>669</v>
      </c>
    </row>
    <row r="33" spans="1:6" x14ac:dyDescent="0.3">
      <c r="A33" s="4" t="s">
        <v>34</v>
      </c>
      <c r="B33">
        <v>120</v>
      </c>
      <c r="C33">
        <v>18</v>
      </c>
      <c r="D33">
        <v>87</v>
      </c>
      <c r="E33">
        <v>62</v>
      </c>
      <c r="F33">
        <v>287</v>
      </c>
    </row>
    <row r="34" spans="1:6" x14ac:dyDescent="0.3">
      <c r="A34" s="4" t="s">
        <v>32</v>
      </c>
      <c r="B34">
        <v>205</v>
      </c>
      <c r="C34">
        <v>108</v>
      </c>
      <c r="F34">
        <v>313</v>
      </c>
    </row>
    <row r="35" spans="1:6" x14ac:dyDescent="0.3">
      <c r="A35" s="4" t="s">
        <v>669</v>
      </c>
      <c r="B35">
        <v>325</v>
      </c>
      <c r="C35">
        <v>126</v>
      </c>
      <c r="D35">
        <v>87</v>
      </c>
      <c r="E35">
        <v>62</v>
      </c>
      <c r="F35">
        <v>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324E-D5FB-4846-88BD-E3EF96C8917F}">
  <dimension ref="A3:N40"/>
  <sheetViews>
    <sheetView topLeftCell="A7" workbookViewId="0">
      <selection activeCell="N6" sqref="N6"/>
    </sheetView>
  </sheetViews>
  <sheetFormatPr defaultRowHeight="14.4" x14ac:dyDescent="0.3"/>
  <cols>
    <col min="1" max="1" width="20.109375" bestFit="1" customWidth="1"/>
    <col min="2" max="2" width="16.33203125" bestFit="1" customWidth="1"/>
    <col min="3" max="3" width="9.6640625" bestFit="1" customWidth="1"/>
    <col min="4" max="4" width="7.77734375" bestFit="1" customWidth="1"/>
    <col min="5" max="5" width="10.5546875" bestFit="1" customWidth="1"/>
    <col min="6" max="6" width="5.5546875" bestFit="1" customWidth="1"/>
    <col min="7" max="7" width="13.5546875" bestFit="1" customWidth="1"/>
    <col min="8" max="8" width="6.21875" bestFit="1" customWidth="1"/>
    <col min="9" max="9" width="10.77734375" bestFit="1" customWidth="1"/>
    <col min="10" max="10" width="6.109375" bestFit="1" customWidth="1"/>
    <col min="11" max="12" width="11" bestFit="1" customWidth="1"/>
    <col min="13" max="13" width="11.109375" bestFit="1" customWidth="1"/>
    <col min="14" max="14" width="11.109375" customWidth="1"/>
    <col min="15" max="21" width="2" bestFit="1" customWidth="1"/>
    <col min="22" max="22" width="3" bestFit="1" customWidth="1"/>
    <col min="23" max="23" width="14.5546875" bestFit="1" customWidth="1"/>
    <col min="24" max="24" width="9.21875" bestFit="1" customWidth="1"/>
    <col min="25" max="32" width="2" bestFit="1" customWidth="1"/>
    <col min="33" max="33" width="3" bestFit="1" customWidth="1"/>
    <col min="34" max="34" width="12.44140625" bestFit="1" customWidth="1"/>
    <col min="35" max="35" width="12" bestFit="1" customWidth="1"/>
    <col min="36" max="43" width="2" bestFit="1" customWidth="1"/>
    <col min="44" max="44" width="3" bestFit="1" customWidth="1"/>
    <col min="45" max="45" width="15.44140625" bestFit="1" customWidth="1"/>
    <col min="46" max="46" width="7" bestFit="1" customWidth="1"/>
    <col min="47" max="52" width="2" bestFit="1" customWidth="1"/>
    <col min="53" max="53" width="3" bestFit="1" customWidth="1"/>
    <col min="54" max="54" width="10.21875" bestFit="1" customWidth="1"/>
    <col min="55" max="55" width="15" bestFit="1" customWidth="1"/>
    <col min="56" max="63" width="2" bestFit="1" customWidth="1"/>
    <col min="64" max="64" width="3" bestFit="1" customWidth="1"/>
    <col min="65" max="65" width="18.44140625" bestFit="1" customWidth="1"/>
    <col min="66" max="66" width="7.77734375" bestFit="1" customWidth="1"/>
    <col min="67" max="74" width="2" bestFit="1" customWidth="1"/>
    <col min="75" max="75" width="3" bestFit="1" customWidth="1"/>
    <col min="76" max="76" width="11" bestFit="1" customWidth="1"/>
    <col min="77" max="77" width="12.21875" bestFit="1" customWidth="1"/>
    <col min="78" max="85" width="2" bestFit="1" customWidth="1"/>
    <col min="86" max="86" width="3" bestFit="1" customWidth="1"/>
    <col min="87" max="87" width="15.6640625" bestFit="1" customWidth="1"/>
    <col min="88" max="88" width="7.5546875" bestFit="1" customWidth="1"/>
    <col min="89" max="96" width="2" bestFit="1" customWidth="1"/>
    <col min="97" max="97" width="3" bestFit="1" customWidth="1"/>
    <col min="98" max="98" width="10.77734375" bestFit="1" customWidth="1"/>
    <col min="99" max="99" width="12.44140625" bestFit="1" customWidth="1"/>
    <col min="100" max="107" width="2" bestFit="1" customWidth="1"/>
    <col min="108" max="108" width="3" bestFit="1" customWidth="1"/>
    <col min="109" max="109" width="15.77734375" bestFit="1" customWidth="1"/>
    <col min="110" max="110" width="11" bestFit="1" customWidth="1"/>
  </cols>
  <sheetData>
    <row r="3" spans="1:12" x14ac:dyDescent="0.3">
      <c r="A3" s="2" t="s">
        <v>670</v>
      </c>
      <c r="B3" s="2" t="s">
        <v>672</v>
      </c>
    </row>
    <row r="4" spans="1:12" x14ac:dyDescent="0.3">
      <c r="A4" s="2" t="s">
        <v>668</v>
      </c>
      <c r="B4" t="s">
        <v>90</v>
      </c>
      <c r="C4" t="s">
        <v>73</v>
      </c>
      <c r="D4" t="s">
        <v>41</v>
      </c>
      <c r="E4" t="s">
        <v>63</v>
      </c>
      <c r="F4" t="s">
        <v>79</v>
      </c>
      <c r="G4" t="s">
        <v>50</v>
      </c>
      <c r="H4" t="s">
        <v>60</v>
      </c>
      <c r="I4" t="s">
        <v>46</v>
      </c>
      <c r="J4" t="s">
        <v>28</v>
      </c>
      <c r="K4" t="s">
        <v>52</v>
      </c>
      <c r="L4" t="s">
        <v>669</v>
      </c>
    </row>
    <row r="5" spans="1:12" x14ac:dyDescent="0.3">
      <c r="A5" s="4">
        <v>1</v>
      </c>
      <c r="B5">
        <v>7</v>
      </c>
      <c r="C5">
        <v>12</v>
      </c>
      <c r="D5">
        <v>11</v>
      </c>
      <c r="E5">
        <v>19</v>
      </c>
      <c r="F5">
        <v>10</v>
      </c>
      <c r="G5">
        <v>10</v>
      </c>
      <c r="H5">
        <v>6</v>
      </c>
      <c r="I5">
        <v>14</v>
      </c>
      <c r="J5">
        <v>7</v>
      </c>
      <c r="K5">
        <v>6</v>
      </c>
      <c r="L5">
        <v>102</v>
      </c>
    </row>
    <row r="6" spans="1:12" x14ac:dyDescent="0.3">
      <c r="A6" s="4">
        <v>2</v>
      </c>
      <c r="B6">
        <v>9</v>
      </c>
      <c r="C6">
        <v>11</v>
      </c>
      <c r="D6">
        <v>8</v>
      </c>
      <c r="E6">
        <v>2</v>
      </c>
      <c r="F6">
        <v>6</v>
      </c>
      <c r="G6">
        <v>7</v>
      </c>
      <c r="H6">
        <v>11</v>
      </c>
      <c r="I6">
        <v>10</v>
      </c>
      <c r="J6">
        <v>5</v>
      </c>
      <c r="K6">
        <v>11</v>
      </c>
      <c r="L6">
        <v>80</v>
      </c>
    </row>
    <row r="7" spans="1:12" x14ac:dyDescent="0.3">
      <c r="A7" s="4">
        <v>3</v>
      </c>
      <c r="B7">
        <v>10</v>
      </c>
      <c r="C7">
        <v>12</v>
      </c>
      <c r="D7">
        <v>9</v>
      </c>
      <c r="E7">
        <v>7</v>
      </c>
      <c r="F7">
        <v>10</v>
      </c>
      <c r="G7">
        <v>4</v>
      </c>
      <c r="H7">
        <v>9</v>
      </c>
      <c r="I7">
        <v>7</v>
      </c>
      <c r="J7">
        <v>13</v>
      </c>
      <c r="K7">
        <v>3</v>
      </c>
      <c r="L7">
        <v>84</v>
      </c>
    </row>
    <row r="8" spans="1:12" x14ac:dyDescent="0.3">
      <c r="A8" s="4">
        <v>4</v>
      </c>
      <c r="B8">
        <v>9</v>
      </c>
      <c r="C8">
        <v>7</v>
      </c>
      <c r="D8">
        <v>7</v>
      </c>
      <c r="E8">
        <v>8</v>
      </c>
      <c r="F8">
        <v>8</v>
      </c>
      <c r="G8">
        <v>7</v>
      </c>
      <c r="H8">
        <v>5</v>
      </c>
      <c r="I8">
        <v>4</v>
      </c>
      <c r="J8">
        <v>8</v>
      </c>
      <c r="K8">
        <v>9</v>
      </c>
      <c r="L8">
        <v>72</v>
      </c>
    </row>
    <row r="9" spans="1:12" x14ac:dyDescent="0.3">
      <c r="A9" s="4">
        <v>5</v>
      </c>
      <c r="B9">
        <v>8</v>
      </c>
      <c r="C9">
        <v>8</v>
      </c>
      <c r="D9">
        <v>1</v>
      </c>
      <c r="E9">
        <v>9</v>
      </c>
      <c r="F9">
        <v>9</v>
      </c>
      <c r="G9">
        <v>6</v>
      </c>
      <c r="H9">
        <v>4</v>
      </c>
      <c r="I9">
        <v>9</v>
      </c>
      <c r="J9">
        <v>4</v>
      </c>
      <c r="K9">
        <v>4</v>
      </c>
      <c r="L9">
        <v>62</v>
      </c>
    </row>
    <row r="10" spans="1:12" x14ac:dyDescent="0.3">
      <c r="A10" s="4">
        <v>6</v>
      </c>
      <c r="B10">
        <v>5</v>
      </c>
      <c r="C10">
        <v>4</v>
      </c>
      <c r="D10">
        <v>10</v>
      </c>
      <c r="E10">
        <v>6</v>
      </c>
      <c r="F10">
        <v>10</v>
      </c>
      <c r="G10">
        <v>12</v>
      </c>
      <c r="H10">
        <v>5</v>
      </c>
      <c r="I10">
        <v>6</v>
      </c>
      <c r="J10">
        <v>4</v>
      </c>
      <c r="K10">
        <v>8</v>
      </c>
      <c r="L10">
        <v>70</v>
      </c>
    </row>
    <row r="11" spans="1:12" x14ac:dyDescent="0.3">
      <c r="A11" s="4">
        <v>7</v>
      </c>
      <c r="B11">
        <v>5</v>
      </c>
      <c r="C11">
        <v>4</v>
      </c>
      <c r="D11">
        <v>4</v>
      </c>
      <c r="E11">
        <v>4</v>
      </c>
      <c r="G11">
        <v>5</v>
      </c>
      <c r="H11">
        <v>5</v>
      </c>
      <c r="I11">
        <v>4</v>
      </c>
      <c r="J11">
        <v>4</v>
      </c>
      <c r="K11">
        <v>2</v>
      </c>
      <c r="L11">
        <v>37</v>
      </c>
    </row>
    <row r="12" spans="1:12" x14ac:dyDescent="0.3">
      <c r="A12" s="4">
        <v>8</v>
      </c>
      <c r="B12">
        <v>4</v>
      </c>
      <c r="C12">
        <v>6</v>
      </c>
      <c r="D12">
        <v>6</v>
      </c>
      <c r="E12">
        <v>1</v>
      </c>
      <c r="G12">
        <v>4</v>
      </c>
      <c r="H12">
        <v>3</v>
      </c>
      <c r="I12">
        <v>3</v>
      </c>
      <c r="J12">
        <v>1</v>
      </c>
      <c r="K12">
        <v>4</v>
      </c>
      <c r="L12">
        <v>32</v>
      </c>
    </row>
    <row r="13" spans="1:12" x14ac:dyDescent="0.3">
      <c r="A13" s="4">
        <v>9</v>
      </c>
      <c r="B13">
        <v>2</v>
      </c>
      <c r="C13">
        <v>9</v>
      </c>
      <c r="D13">
        <v>4</v>
      </c>
      <c r="E13">
        <v>2</v>
      </c>
      <c r="F13">
        <v>3</v>
      </c>
      <c r="G13">
        <v>5</v>
      </c>
      <c r="H13">
        <v>4</v>
      </c>
      <c r="I13">
        <v>3</v>
      </c>
      <c r="J13">
        <v>4</v>
      </c>
      <c r="K13">
        <v>2</v>
      </c>
      <c r="L13">
        <v>38</v>
      </c>
    </row>
    <row r="14" spans="1:12" x14ac:dyDescent="0.3">
      <c r="A14" s="4">
        <v>10</v>
      </c>
      <c r="B14">
        <v>3</v>
      </c>
      <c r="C14">
        <v>4</v>
      </c>
      <c r="D14">
        <v>1</v>
      </c>
      <c r="E14">
        <v>3</v>
      </c>
      <c r="F14">
        <v>1</v>
      </c>
      <c r="G14">
        <v>4</v>
      </c>
      <c r="H14">
        <v>2</v>
      </c>
      <c r="I14">
        <v>1</v>
      </c>
      <c r="J14">
        <v>2</v>
      </c>
      <c r="K14">
        <v>2</v>
      </c>
      <c r="L14">
        <v>23</v>
      </c>
    </row>
    <row r="15" spans="1:12" x14ac:dyDescent="0.3">
      <c r="A15" s="4" t="s">
        <v>669</v>
      </c>
      <c r="B15">
        <v>62</v>
      </c>
      <c r="C15">
        <v>77</v>
      </c>
      <c r="D15">
        <v>61</v>
      </c>
      <c r="E15">
        <v>61</v>
      </c>
      <c r="F15">
        <v>57</v>
      </c>
      <c r="G15">
        <v>64</v>
      </c>
      <c r="H15">
        <v>54</v>
      </c>
      <c r="I15">
        <v>61</v>
      </c>
      <c r="J15">
        <v>52</v>
      </c>
      <c r="K15">
        <v>51</v>
      </c>
      <c r="L15">
        <v>600</v>
      </c>
    </row>
    <row r="16" spans="1:12" x14ac:dyDescent="0.3">
      <c r="A16" s="4"/>
    </row>
    <row r="17" spans="1:14" x14ac:dyDescent="0.3">
      <c r="A17" s="4"/>
    </row>
    <row r="18" spans="1:14" x14ac:dyDescent="0.3">
      <c r="A18" s="4"/>
    </row>
    <row r="19" spans="1:14" x14ac:dyDescent="0.3">
      <c r="A19" s="2" t="s">
        <v>18</v>
      </c>
      <c r="B19" t="s">
        <v>32</v>
      </c>
    </row>
    <row r="21" spans="1:14" x14ac:dyDescent="0.3">
      <c r="A21" s="2" t="s">
        <v>670</v>
      </c>
      <c r="B21" s="2" t="s">
        <v>672</v>
      </c>
    </row>
    <row r="22" spans="1:14" x14ac:dyDescent="0.3">
      <c r="A22" s="2" t="s">
        <v>668</v>
      </c>
      <c r="B22" t="s">
        <v>90</v>
      </c>
      <c r="C22" t="s">
        <v>73</v>
      </c>
      <c r="D22" t="s">
        <v>41</v>
      </c>
      <c r="E22" t="s">
        <v>63</v>
      </c>
      <c r="F22" t="s">
        <v>79</v>
      </c>
      <c r="G22" t="s">
        <v>50</v>
      </c>
      <c r="H22" t="s">
        <v>60</v>
      </c>
      <c r="I22" t="s">
        <v>46</v>
      </c>
      <c r="J22" t="s">
        <v>28</v>
      </c>
      <c r="K22" t="s">
        <v>52</v>
      </c>
      <c r="L22" t="s">
        <v>669</v>
      </c>
    </row>
    <row r="23" spans="1:14" x14ac:dyDescent="0.3">
      <c r="A23" s="4">
        <v>1</v>
      </c>
      <c r="B23">
        <v>5</v>
      </c>
      <c r="C23">
        <v>9</v>
      </c>
      <c r="D23">
        <v>10</v>
      </c>
      <c r="E23">
        <v>18</v>
      </c>
      <c r="F23">
        <v>10</v>
      </c>
      <c r="G23">
        <v>4</v>
      </c>
      <c r="H23">
        <v>3</v>
      </c>
      <c r="I23">
        <v>12</v>
      </c>
      <c r="J23">
        <v>4</v>
      </c>
      <c r="K23">
        <v>4</v>
      </c>
      <c r="L23">
        <v>79</v>
      </c>
      <c r="N23" s="6">
        <f>GETPIVOTDATA("customer_id",$A$21,"nps_score",1)/GETPIVOTDATA("customer_id",$A$3,"nps_score",1)</f>
        <v>0.77450980392156865</v>
      </c>
    </row>
    <row r="24" spans="1:14" x14ac:dyDescent="0.3">
      <c r="A24" s="4">
        <v>2</v>
      </c>
      <c r="B24">
        <v>7</v>
      </c>
      <c r="C24">
        <v>6</v>
      </c>
      <c r="D24">
        <v>7</v>
      </c>
      <c r="E24">
        <v>1</v>
      </c>
      <c r="F24">
        <v>4</v>
      </c>
      <c r="G24">
        <v>5</v>
      </c>
      <c r="H24">
        <v>6</v>
      </c>
      <c r="I24">
        <v>9</v>
      </c>
      <c r="J24">
        <v>5</v>
      </c>
      <c r="K24">
        <v>8</v>
      </c>
      <c r="L24">
        <v>58</v>
      </c>
      <c r="N24" s="6">
        <f>GETPIVOTDATA("customer_id",$A$21,"nps_score",2)/GETPIVOTDATA("customer_id",$A$3,"nps_score",2)</f>
        <v>0.72499999999999998</v>
      </c>
    </row>
    <row r="25" spans="1:14" x14ac:dyDescent="0.3">
      <c r="A25" s="4">
        <v>3</v>
      </c>
      <c r="B25">
        <v>6</v>
      </c>
      <c r="C25">
        <v>9</v>
      </c>
      <c r="D25">
        <v>8</v>
      </c>
      <c r="E25">
        <v>4</v>
      </c>
      <c r="F25">
        <v>6</v>
      </c>
      <c r="G25">
        <v>3</v>
      </c>
      <c r="H25">
        <v>9</v>
      </c>
      <c r="I25">
        <v>4</v>
      </c>
      <c r="J25">
        <v>12</v>
      </c>
      <c r="K25">
        <v>1</v>
      </c>
      <c r="L25">
        <v>62</v>
      </c>
    </row>
    <row r="26" spans="1:14" x14ac:dyDescent="0.3">
      <c r="A26" s="4">
        <v>4</v>
      </c>
      <c r="B26">
        <v>6</v>
      </c>
      <c r="C26">
        <v>3</v>
      </c>
      <c r="D26">
        <v>4</v>
      </c>
      <c r="E26">
        <v>6</v>
      </c>
      <c r="F26">
        <v>4</v>
      </c>
      <c r="G26">
        <v>5</v>
      </c>
      <c r="H26">
        <v>3</v>
      </c>
      <c r="I26">
        <v>2</v>
      </c>
      <c r="J26">
        <v>4</v>
      </c>
      <c r="K26">
        <v>3</v>
      </c>
      <c r="L26">
        <v>40</v>
      </c>
    </row>
    <row r="27" spans="1:14" x14ac:dyDescent="0.3">
      <c r="A27" s="4">
        <v>5</v>
      </c>
      <c r="B27">
        <v>6</v>
      </c>
      <c r="C27">
        <v>5</v>
      </c>
      <c r="D27">
        <v>1</v>
      </c>
      <c r="E27">
        <v>3</v>
      </c>
      <c r="F27">
        <v>3</v>
      </c>
      <c r="G27">
        <v>5</v>
      </c>
      <c r="H27">
        <v>1</v>
      </c>
      <c r="I27">
        <v>7</v>
      </c>
      <c r="J27">
        <v>2</v>
      </c>
      <c r="K27">
        <v>1</v>
      </c>
      <c r="L27">
        <v>34</v>
      </c>
    </row>
    <row r="28" spans="1:14" x14ac:dyDescent="0.3">
      <c r="A28" s="4">
        <v>6</v>
      </c>
      <c r="B28">
        <v>2</v>
      </c>
      <c r="C28">
        <v>2</v>
      </c>
      <c r="D28">
        <v>6</v>
      </c>
      <c r="E28">
        <v>3</v>
      </c>
      <c r="F28">
        <v>4</v>
      </c>
      <c r="G28">
        <v>9</v>
      </c>
      <c r="H28">
        <v>2</v>
      </c>
      <c r="I28">
        <v>3</v>
      </c>
      <c r="J28">
        <v>3</v>
      </c>
      <c r="K28">
        <v>6</v>
      </c>
      <c r="L28">
        <v>40</v>
      </c>
    </row>
    <row r="29" spans="1:14" x14ac:dyDescent="0.3">
      <c r="A29" s="4" t="s">
        <v>669</v>
      </c>
      <c r="B29">
        <v>32</v>
      </c>
      <c r="C29">
        <v>34</v>
      </c>
      <c r="D29">
        <v>36</v>
      </c>
      <c r="E29">
        <v>35</v>
      </c>
      <c r="F29">
        <v>31</v>
      </c>
      <c r="G29">
        <v>31</v>
      </c>
      <c r="H29">
        <v>24</v>
      </c>
      <c r="I29">
        <v>37</v>
      </c>
      <c r="J29">
        <v>30</v>
      </c>
      <c r="K29">
        <v>23</v>
      </c>
      <c r="L29">
        <v>313</v>
      </c>
    </row>
    <row r="36" spans="1:12" x14ac:dyDescent="0.3">
      <c r="A36" s="2" t="s">
        <v>670</v>
      </c>
      <c r="B36" s="2" t="s">
        <v>672</v>
      </c>
    </row>
    <row r="37" spans="1:12" x14ac:dyDescent="0.3">
      <c r="A37" s="2" t="s">
        <v>668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 t="s">
        <v>669</v>
      </c>
    </row>
    <row r="38" spans="1:12" x14ac:dyDescent="0.3">
      <c r="A38" s="4" t="s">
        <v>34</v>
      </c>
      <c r="B38">
        <v>23</v>
      </c>
      <c r="C38">
        <v>22</v>
      </c>
      <c r="D38">
        <v>22</v>
      </c>
      <c r="E38">
        <v>32</v>
      </c>
      <c r="F38">
        <v>28</v>
      </c>
      <c r="G38">
        <v>30</v>
      </c>
      <c r="H38">
        <v>37</v>
      </c>
      <c r="I38">
        <v>32</v>
      </c>
      <c r="J38">
        <v>38</v>
      </c>
      <c r="K38">
        <v>23</v>
      </c>
      <c r="L38">
        <v>287</v>
      </c>
    </row>
    <row r="39" spans="1:12" x14ac:dyDescent="0.3">
      <c r="A39" s="4" t="s">
        <v>32</v>
      </c>
      <c r="B39">
        <v>79</v>
      </c>
      <c r="C39">
        <v>58</v>
      </c>
      <c r="D39">
        <v>62</v>
      </c>
      <c r="E39">
        <v>40</v>
      </c>
      <c r="F39">
        <v>34</v>
      </c>
      <c r="G39">
        <v>40</v>
      </c>
      <c r="L39">
        <v>313</v>
      </c>
    </row>
    <row r="40" spans="1:12" x14ac:dyDescent="0.3">
      <c r="A40" s="4" t="s">
        <v>669</v>
      </c>
      <c r="B40">
        <v>102</v>
      </c>
      <c r="C40">
        <v>80</v>
      </c>
      <c r="D40">
        <v>84</v>
      </c>
      <c r="E40">
        <v>72</v>
      </c>
      <c r="F40">
        <v>62</v>
      </c>
      <c r="G40">
        <v>70</v>
      </c>
      <c r="H40">
        <v>37</v>
      </c>
      <c r="I40">
        <v>32</v>
      </c>
      <c r="J40">
        <v>38</v>
      </c>
      <c r="K40">
        <v>23</v>
      </c>
      <c r="L40">
        <v>600</v>
      </c>
    </row>
  </sheetData>
  <conditionalFormatting pivot="1" sqref="B5:B1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5:C1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D5:D1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E5:E1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F5:F1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G5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H5:H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I5:I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J5:J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K5:K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3E51-0D7B-4602-9517-A60453B9194D}">
  <dimension ref="A3:F53"/>
  <sheetViews>
    <sheetView tabSelected="1" workbookViewId="0">
      <selection activeCell="F53" sqref="F5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9.5546875" bestFit="1" customWidth="1"/>
    <col min="4" max="4" width="11.21875" bestFit="1" customWidth="1"/>
    <col min="5" max="5" width="6.77734375" bestFit="1" customWidth="1"/>
    <col min="6" max="6" width="10.5546875" bestFit="1" customWidth="1"/>
  </cols>
  <sheetData>
    <row r="3" spans="1:6" x14ac:dyDescent="0.3">
      <c r="A3" s="2" t="s">
        <v>670</v>
      </c>
      <c r="B3" s="2" t="s">
        <v>672</v>
      </c>
    </row>
    <row r="4" spans="1:6" x14ac:dyDescent="0.3">
      <c r="A4" s="2" t="s">
        <v>668</v>
      </c>
      <c r="B4" t="s">
        <v>45</v>
      </c>
      <c r="C4" t="s">
        <v>82</v>
      </c>
      <c r="D4" t="s">
        <v>26</v>
      </c>
      <c r="E4" t="s">
        <v>40</v>
      </c>
      <c r="F4" t="s">
        <v>669</v>
      </c>
    </row>
    <row r="5" spans="1:6" x14ac:dyDescent="0.3">
      <c r="A5" s="3">
        <v>44593</v>
      </c>
      <c r="E5">
        <v>1</v>
      </c>
      <c r="F5">
        <v>1</v>
      </c>
    </row>
    <row r="6" spans="1:6" x14ac:dyDescent="0.3">
      <c r="A6" s="3">
        <v>44652</v>
      </c>
      <c r="B6">
        <v>1</v>
      </c>
      <c r="E6">
        <v>2</v>
      </c>
      <c r="F6">
        <v>3</v>
      </c>
    </row>
    <row r="7" spans="1:6" x14ac:dyDescent="0.3">
      <c r="A7" s="3">
        <v>44682</v>
      </c>
      <c r="D7">
        <v>1</v>
      </c>
      <c r="F7">
        <v>1</v>
      </c>
    </row>
    <row r="8" spans="1:6" x14ac:dyDescent="0.3">
      <c r="A8" s="3">
        <v>44713</v>
      </c>
      <c r="D8">
        <v>1</v>
      </c>
      <c r="E8">
        <v>1</v>
      </c>
      <c r="F8">
        <v>2</v>
      </c>
    </row>
    <row r="9" spans="1:6" x14ac:dyDescent="0.3">
      <c r="A9" s="3">
        <v>44743</v>
      </c>
      <c r="B9">
        <v>2</v>
      </c>
      <c r="E9">
        <v>4</v>
      </c>
      <c r="F9">
        <v>6</v>
      </c>
    </row>
    <row r="10" spans="1:6" x14ac:dyDescent="0.3">
      <c r="A10" s="3">
        <v>44774</v>
      </c>
      <c r="B10">
        <v>1</v>
      </c>
      <c r="D10">
        <v>4</v>
      </c>
      <c r="E10">
        <v>1</v>
      </c>
      <c r="F10">
        <v>6</v>
      </c>
    </row>
    <row r="11" spans="1:6" x14ac:dyDescent="0.3">
      <c r="A11" s="3">
        <v>44805</v>
      </c>
      <c r="D11">
        <v>1</v>
      </c>
      <c r="E11">
        <v>4</v>
      </c>
      <c r="F11">
        <v>5</v>
      </c>
    </row>
    <row r="12" spans="1:6" x14ac:dyDescent="0.3">
      <c r="A12" s="3">
        <v>44835</v>
      </c>
      <c r="D12">
        <v>2</v>
      </c>
      <c r="E12">
        <v>3</v>
      </c>
      <c r="F12">
        <v>5</v>
      </c>
    </row>
    <row r="13" spans="1:6" x14ac:dyDescent="0.3">
      <c r="A13" s="3">
        <v>44866</v>
      </c>
      <c r="B13">
        <v>1</v>
      </c>
      <c r="E13">
        <v>4</v>
      </c>
      <c r="F13">
        <v>5</v>
      </c>
    </row>
    <row r="14" spans="1:6" x14ac:dyDescent="0.3">
      <c r="A14" s="3">
        <v>44896</v>
      </c>
      <c r="E14">
        <v>2</v>
      </c>
      <c r="F14">
        <v>2</v>
      </c>
    </row>
    <row r="15" spans="1:6" x14ac:dyDescent="0.3">
      <c r="A15" s="3">
        <v>44927</v>
      </c>
      <c r="D15">
        <v>1</v>
      </c>
      <c r="E15">
        <v>3</v>
      </c>
      <c r="F15">
        <v>4</v>
      </c>
    </row>
    <row r="16" spans="1:6" x14ac:dyDescent="0.3">
      <c r="A16" s="3">
        <v>44958</v>
      </c>
      <c r="B16">
        <v>1</v>
      </c>
      <c r="D16">
        <v>2</v>
      </c>
      <c r="F16">
        <v>3</v>
      </c>
    </row>
    <row r="17" spans="1:6" x14ac:dyDescent="0.3">
      <c r="A17" s="3">
        <v>44986</v>
      </c>
      <c r="E17">
        <v>2</v>
      </c>
      <c r="F17">
        <v>2</v>
      </c>
    </row>
    <row r="18" spans="1:6" x14ac:dyDescent="0.3">
      <c r="A18" s="3">
        <v>45017</v>
      </c>
      <c r="B18">
        <v>3</v>
      </c>
      <c r="D18">
        <v>3</v>
      </c>
      <c r="E18">
        <v>2</v>
      </c>
      <c r="F18">
        <v>8</v>
      </c>
    </row>
    <row r="19" spans="1:6" x14ac:dyDescent="0.3">
      <c r="A19" s="3">
        <v>45047</v>
      </c>
      <c r="B19">
        <v>1</v>
      </c>
      <c r="C19">
        <v>1</v>
      </c>
      <c r="D19">
        <v>1</v>
      </c>
      <c r="E19">
        <v>1</v>
      </c>
      <c r="F19">
        <v>4</v>
      </c>
    </row>
    <row r="20" spans="1:6" x14ac:dyDescent="0.3">
      <c r="A20" s="3">
        <v>45078</v>
      </c>
      <c r="B20">
        <v>2</v>
      </c>
      <c r="D20">
        <v>3</v>
      </c>
      <c r="E20">
        <v>5</v>
      </c>
      <c r="F20">
        <v>10</v>
      </c>
    </row>
    <row r="21" spans="1:6" x14ac:dyDescent="0.3">
      <c r="A21" s="3">
        <v>45108</v>
      </c>
      <c r="B21">
        <v>1</v>
      </c>
      <c r="E21">
        <v>6</v>
      </c>
      <c r="F21">
        <v>7</v>
      </c>
    </row>
    <row r="22" spans="1:6" x14ac:dyDescent="0.3">
      <c r="A22" s="3">
        <v>45139</v>
      </c>
      <c r="B22">
        <v>1</v>
      </c>
      <c r="E22">
        <v>6</v>
      </c>
      <c r="F22">
        <v>7</v>
      </c>
    </row>
    <row r="23" spans="1:6" x14ac:dyDescent="0.3">
      <c r="A23" s="3">
        <v>45170</v>
      </c>
      <c r="B23">
        <v>1</v>
      </c>
      <c r="D23">
        <v>2</v>
      </c>
      <c r="E23">
        <v>4</v>
      </c>
      <c r="F23">
        <v>7</v>
      </c>
    </row>
    <row r="24" spans="1:6" x14ac:dyDescent="0.3">
      <c r="A24" s="3">
        <v>45200</v>
      </c>
      <c r="B24">
        <v>1</v>
      </c>
      <c r="D24">
        <v>1</v>
      </c>
      <c r="E24">
        <v>3</v>
      </c>
      <c r="F24">
        <v>5</v>
      </c>
    </row>
    <row r="25" spans="1:6" x14ac:dyDescent="0.3">
      <c r="A25" s="3">
        <v>45231</v>
      </c>
      <c r="B25">
        <v>1</v>
      </c>
      <c r="D25">
        <v>1</v>
      </c>
      <c r="E25">
        <v>6</v>
      </c>
      <c r="F25">
        <v>8</v>
      </c>
    </row>
    <row r="26" spans="1:6" x14ac:dyDescent="0.3">
      <c r="A26" s="3">
        <v>45261</v>
      </c>
      <c r="B26">
        <v>4</v>
      </c>
      <c r="D26">
        <v>1</v>
      </c>
      <c r="E26">
        <v>2</v>
      </c>
      <c r="F26">
        <v>7</v>
      </c>
    </row>
    <row r="27" spans="1:6" x14ac:dyDescent="0.3">
      <c r="A27" s="3">
        <v>45292</v>
      </c>
      <c r="B27">
        <v>1</v>
      </c>
      <c r="D27">
        <v>2</v>
      </c>
      <c r="E27">
        <v>4</v>
      </c>
      <c r="F27">
        <v>7</v>
      </c>
    </row>
    <row r="28" spans="1:6" x14ac:dyDescent="0.3">
      <c r="A28" s="3">
        <v>45323</v>
      </c>
      <c r="C28">
        <v>1</v>
      </c>
      <c r="D28">
        <v>5</v>
      </c>
      <c r="E28">
        <v>2</v>
      </c>
      <c r="F28">
        <v>8</v>
      </c>
    </row>
    <row r="29" spans="1:6" x14ac:dyDescent="0.3">
      <c r="A29" s="3">
        <v>45352</v>
      </c>
      <c r="B29">
        <v>2</v>
      </c>
      <c r="D29">
        <v>2</v>
      </c>
      <c r="F29">
        <v>4</v>
      </c>
    </row>
    <row r="30" spans="1:6" x14ac:dyDescent="0.3">
      <c r="A30" s="3">
        <v>45383</v>
      </c>
      <c r="D30">
        <v>4</v>
      </c>
      <c r="E30">
        <v>4</v>
      </c>
      <c r="F30">
        <v>8</v>
      </c>
    </row>
    <row r="31" spans="1:6" x14ac:dyDescent="0.3">
      <c r="A31" s="3">
        <v>45413</v>
      </c>
      <c r="B31">
        <v>3</v>
      </c>
      <c r="D31">
        <v>1</v>
      </c>
      <c r="E31">
        <v>4</v>
      </c>
      <c r="F31">
        <v>8</v>
      </c>
    </row>
    <row r="32" spans="1:6" x14ac:dyDescent="0.3">
      <c r="A32" s="3">
        <v>45444</v>
      </c>
      <c r="B32">
        <v>2</v>
      </c>
      <c r="C32">
        <v>1</v>
      </c>
      <c r="D32">
        <v>1</v>
      </c>
      <c r="E32">
        <v>5</v>
      </c>
      <c r="F32">
        <v>9</v>
      </c>
    </row>
    <row r="33" spans="1:6" x14ac:dyDescent="0.3">
      <c r="A33" s="3">
        <v>45474</v>
      </c>
      <c r="D33">
        <v>1</v>
      </c>
      <c r="E33">
        <v>7</v>
      </c>
      <c r="F33">
        <v>8</v>
      </c>
    </row>
    <row r="34" spans="1:6" x14ac:dyDescent="0.3">
      <c r="A34" s="3">
        <v>45505</v>
      </c>
      <c r="B34">
        <v>3</v>
      </c>
      <c r="D34">
        <v>1</v>
      </c>
      <c r="E34">
        <v>3</v>
      </c>
      <c r="F34">
        <v>7</v>
      </c>
    </row>
    <row r="35" spans="1:6" x14ac:dyDescent="0.3">
      <c r="A35" s="3">
        <v>45536</v>
      </c>
      <c r="B35">
        <v>1</v>
      </c>
      <c r="D35">
        <v>2</v>
      </c>
      <c r="E35">
        <v>4</v>
      </c>
      <c r="F35">
        <v>7</v>
      </c>
    </row>
    <row r="36" spans="1:6" x14ac:dyDescent="0.3">
      <c r="A36" s="3">
        <v>45566</v>
      </c>
      <c r="D36">
        <v>2</v>
      </c>
      <c r="E36">
        <v>5</v>
      </c>
      <c r="F36">
        <v>7</v>
      </c>
    </row>
    <row r="37" spans="1:6" x14ac:dyDescent="0.3">
      <c r="A37" s="3">
        <v>45597</v>
      </c>
      <c r="B37">
        <v>2</v>
      </c>
      <c r="D37">
        <v>5</v>
      </c>
      <c r="E37">
        <v>2</v>
      </c>
      <c r="F37">
        <v>9</v>
      </c>
    </row>
    <row r="38" spans="1:6" x14ac:dyDescent="0.3">
      <c r="A38" s="3">
        <v>45627</v>
      </c>
      <c r="B38">
        <v>4</v>
      </c>
      <c r="D38">
        <v>1</v>
      </c>
      <c r="E38">
        <v>4</v>
      </c>
      <c r="F38">
        <v>9</v>
      </c>
    </row>
    <row r="39" spans="1:6" x14ac:dyDescent="0.3">
      <c r="A39" s="3">
        <v>45658</v>
      </c>
      <c r="D39">
        <v>1</v>
      </c>
      <c r="E39">
        <v>8</v>
      </c>
      <c r="F39">
        <v>9</v>
      </c>
    </row>
    <row r="40" spans="1:6" x14ac:dyDescent="0.3">
      <c r="A40" s="3">
        <v>45689</v>
      </c>
      <c r="B40">
        <v>1</v>
      </c>
      <c r="C40">
        <v>4</v>
      </c>
      <c r="D40">
        <v>2</v>
      </c>
      <c r="E40">
        <v>1</v>
      </c>
      <c r="F40">
        <v>8</v>
      </c>
    </row>
    <row r="41" spans="1:6" x14ac:dyDescent="0.3">
      <c r="A41" s="3">
        <v>45717</v>
      </c>
      <c r="D41">
        <v>5</v>
      </c>
      <c r="E41">
        <v>2</v>
      </c>
      <c r="F41">
        <v>7</v>
      </c>
    </row>
    <row r="42" spans="1:6" x14ac:dyDescent="0.3">
      <c r="A42" s="3">
        <v>45748</v>
      </c>
      <c r="B42">
        <v>5</v>
      </c>
      <c r="C42">
        <v>1</v>
      </c>
      <c r="D42">
        <v>3</v>
      </c>
      <c r="E42">
        <v>8</v>
      </c>
      <c r="F42">
        <v>17</v>
      </c>
    </row>
    <row r="43" spans="1:6" x14ac:dyDescent="0.3">
      <c r="A43" s="3">
        <v>45778</v>
      </c>
      <c r="B43">
        <v>4</v>
      </c>
      <c r="C43">
        <v>3</v>
      </c>
      <c r="D43">
        <v>3</v>
      </c>
      <c r="E43">
        <v>5</v>
      </c>
      <c r="F43">
        <v>15</v>
      </c>
    </row>
    <row r="44" spans="1:6" x14ac:dyDescent="0.3">
      <c r="A44" s="3">
        <v>45809</v>
      </c>
      <c r="B44">
        <v>2</v>
      </c>
      <c r="D44">
        <v>3</v>
      </c>
      <c r="E44">
        <v>6</v>
      </c>
      <c r="F44">
        <v>11</v>
      </c>
    </row>
    <row r="45" spans="1:6" x14ac:dyDescent="0.3">
      <c r="A45" s="3">
        <v>45839</v>
      </c>
      <c r="B45">
        <v>4</v>
      </c>
      <c r="D45">
        <v>1</v>
      </c>
      <c r="E45">
        <v>4</v>
      </c>
      <c r="F45">
        <v>9</v>
      </c>
    </row>
    <row r="46" spans="1:6" x14ac:dyDescent="0.3">
      <c r="A46" s="3">
        <v>45870</v>
      </c>
      <c r="D46">
        <v>3</v>
      </c>
      <c r="E46">
        <v>4</v>
      </c>
      <c r="F46">
        <v>7</v>
      </c>
    </row>
    <row r="47" spans="1:6" x14ac:dyDescent="0.3">
      <c r="A47" s="3">
        <v>45901</v>
      </c>
      <c r="B47">
        <v>4</v>
      </c>
      <c r="D47">
        <v>2</v>
      </c>
      <c r="E47">
        <v>3</v>
      </c>
      <c r="F47">
        <v>9</v>
      </c>
    </row>
    <row r="48" spans="1:6" x14ac:dyDescent="0.3">
      <c r="A48" s="3">
        <v>45931</v>
      </c>
      <c r="B48">
        <v>2</v>
      </c>
      <c r="D48">
        <v>4</v>
      </c>
      <c r="E48">
        <v>3</v>
      </c>
      <c r="F48">
        <v>9</v>
      </c>
    </row>
    <row r="49" spans="1:6" x14ac:dyDescent="0.3">
      <c r="A49" s="3">
        <v>45962</v>
      </c>
      <c r="B49">
        <v>5</v>
      </c>
      <c r="D49">
        <v>2</v>
      </c>
      <c r="E49">
        <v>2</v>
      </c>
      <c r="F49">
        <v>9</v>
      </c>
    </row>
    <row r="50" spans="1:6" x14ac:dyDescent="0.3">
      <c r="A50" s="3">
        <v>45992</v>
      </c>
      <c r="D50">
        <v>3</v>
      </c>
      <c r="E50">
        <v>1</v>
      </c>
      <c r="F50">
        <v>4</v>
      </c>
    </row>
    <row r="51" spans="1:6" x14ac:dyDescent="0.3">
      <c r="A51" s="4" t="s">
        <v>669</v>
      </c>
      <c r="B51">
        <v>66</v>
      </c>
      <c r="C51">
        <v>11</v>
      </c>
      <c r="D51">
        <v>83</v>
      </c>
      <c r="E51">
        <v>153</v>
      </c>
      <c r="F51">
        <v>313</v>
      </c>
    </row>
    <row r="53" spans="1:6" x14ac:dyDescent="0.3">
      <c r="B53">
        <f>AVERAGE(B5:B50)</f>
        <v>2.2000000000000002</v>
      </c>
      <c r="C53">
        <f t="shared" ref="C53:F53" si="0">AVERAGE(C5:C50)</f>
        <v>1.8333333333333333</v>
      </c>
      <c r="D53">
        <f t="shared" si="0"/>
        <v>2.1842105263157894</v>
      </c>
      <c r="E53">
        <f t="shared" si="0"/>
        <v>3.558139534883721</v>
      </c>
      <c r="F53">
        <f t="shared" si="0"/>
        <v>6.8043478260869561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42989D-EE99-44F4-98F9-AAB7397324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subscriptions</vt:lpstr>
      <vt:lpstr>monthly_revenue</vt:lpstr>
      <vt:lpstr>MRR trends</vt:lpstr>
      <vt:lpstr>Churn Overall</vt:lpstr>
      <vt:lpstr>Churn Annualy</vt:lpstr>
      <vt:lpstr>Churn Rate monthly</vt:lpstr>
      <vt:lpstr>Churn category</vt:lpstr>
      <vt:lpstr>Sheet3</vt:lpstr>
      <vt:lpstr>Churn by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Hairolfahmi Abd Rani</dc:creator>
  <cp:lastModifiedBy>Muhammad Hairolfahmi Abd Rani</cp:lastModifiedBy>
  <dcterms:created xsi:type="dcterms:W3CDTF">2026-06-20T23:15:00Z</dcterms:created>
  <dcterms:modified xsi:type="dcterms:W3CDTF">2026-07-04T10:42:45Z</dcterms:modified>
</cp:coreProperties>
</file>